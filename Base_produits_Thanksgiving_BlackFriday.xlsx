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Thanksgiving - Boutique" sheetId="2" state="visible" r:id="rId4"/>
    <sheet name="Thanksgiving - Produit unique" sheetId="3" state="visible" r:id="rId5"/>
    <sheet name="Black Friday - Boutique" sheetId="4" state="visible" r:id="rId6"/>
    <sheet name="Black Friday - Produit unique" sheetId="5" state="visible" r:id="rId7"/>
    <sheet name="Prompt agent" sheetId="6" state="visible" r:id="rId8"/>
    <sheet name="Listes" sheetId="7" state="hidden" r:id="rId9"/>
  </sheets>
  <definedNames>
    <definedName function="false" hidden="true" localSheetId="3" name="_xlnm._FilterDatabase" vbProcedure="false">'Black Friday - Boutique'!$A$11:$S$19</definedName>
    <definedName function="false" hidden="true" localSheetId="1" name="_xlnm._FilterDatabase" vbProcedure="false">'Thanksgiving - Boutique'!$A$22:$AE$36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<sst xmlns="http://schemas.openxmlformats.org/spreadsheetml/2006/main" count="810" uniqueCount="616">
  <si>
    <t xml:space="preserve">Base de données produits — Calibrage Q4 (Amazon France)</t>
  </si>
  <si>
    <t xml:space="preserve">Ton identifiant Amazon Partenaires :</t>
  </si>
  <si>
    <t xml:space="preserve">iphonehub210a-21</t>
  </si>
  <si>
    <t xml:space="preserve">← repris de tes liens. Vérifie que c'est bien le tien : sinon les commissions iront à quelqu'un d'autre.</t>
  </si>
  <si>
    <t xml:space="preserve">Qui remplit quoi</t>
  </si>
  <si>
    <t xml:space="preserve">• Toi : seulement la colonne jaune « ✍ Lien produit Amazon » (le lien court de la barre SiteStripe d'Amazon Partenaires).</t>
  </si>
  <si>
    <t xml:space="preserve">• Claude : tout le reste. Nom, textes de vente, prix, note, nombre d'avis, photos, formules, quantités, réglages du site.</t>
  </si>
  <si>
    <t xml:space="preserve">Comment mettre à jour un site</t>
  </si>
  <si>
    <t xml:space="preserve">1. Dans l'onglet du site, colle ou remplace un lien Amazon (une ligne = un produit). Pour masquer un produit, mets « Afficher sur le site ? » à Non.</t>
  </si>
  <si>
    <t xml:space="preserve">2. Enregistre et ferme le fichier.</t>
  </si>
  <si>
    <t xml:space="preserve">3. Dis à Claude : « l'Excel est à jour ». Claude relit le fichier dans tes Téléchargements, ouvre les fiches Amazon, remplit les colonnes et reconstruit le site.</t>
  </si>
  <si>
    <t xml:space="preserve">4. Refais glisser le dossier du site sur Netlify (onglet Deploys). Le lien du site ne change pas.</t>
  </si>
  <si>
    <t xml:space="preserve">Ce que chaque colonne pilote sur le site</t>
  </si>
  <si>
    <t xml:space="preserve">• Ordre des lignes = ordre d'affichage · Catégorie = filtres · Prix / Prix barré = prix et badge de réduction · Badge = étiquette sur la photo.</t>
  </si>
  <si>
    <t xml:space="preserve">• « Pourquoi on l'a choisi » = texte de vente de la carte · Points forts = liste de la fiche produit · Images = photos et galerie.</t>
  </si>
  <si>
    <t xml:space="preserve">• Formule minimale = dans quelles formules du calculateur le produit apparaît (Essentielle ⊂ Complète ⊂ Prestige).</t>
  </si>
  <si>
    <t xml:space="preserve">• Taille du lot, Unité, « 1 lot pour … invités » = quantités calculées automatiquement selon le nombre d'invités.</t>
  </si>
  <si>
    <t xml:space="preserve">• ASIN = bouton « Tout ajouter à mon panier Amazon » · Mise en avant = grande carte · Position dans le hero = objets de la table en haut de page · Étape du guide = guide en 4 étapes.</t>
  </si>
  <si>
    <t xml:space="preserve">Légende</t>
  </si>
  <si>
    <t xml:space="preserve">Jaune = à remplir par toi · Crème = rédigé par Claude (modifiable) · Bleu = calculé automatiquement · Ligne grise = produit masqué sur le site.</t>
  </si>
  <si>
    <t xml:space="preserve">Règles Amazon Partenaires</t>
  </si>
  <si>
    <t xml:space="preserve">• Chaque site affiche : « En tant que Partenaire Amazon, je réalise un bénéfice sur les achats remplissant les conditions requises. »</t>
  </si>
  <si>
    <t xml:space="preserve">• Les prix Amazon changent : ils sont présentés comme indicatifs, avec la date du relevé. Pour un site durable, Amazon demande des prix mis à jour automatiquement (API).</t>
  </si>
  <si>
    <t xml:space="preserve">Thanksgiving · Site 1 : boutique multi-produits (La Table Dorée)</t>
  </si>
  <si>
    <t xml:space="preserve">Cet onglet contient tout ce que le site affiche. Toi : seulement la colonne jaune « Lien produit Amazon ». Claude : tout le reste. L'ordre des lignes = l'ordre d'affichage sur le site.</t>
  </si>
  <si>
    <t xml:space="preserve">Réglage</t>
  </si>
  <si>
    <t xml:space="preserve">Valeur (rédigée par Claude, modifiable)</t>
  </si>
  <si>
    <t xml:space="preserve">Nom du site (*italique*)</t>
  </si>
  <si>
    <t xml:space="preserve">La Table *Dorée*</t>
  </si>
  <si>
    <t xml:space="preserve">brand</t>
  </si>
  <si>
    <t xml:space="preserve">Événement</t>
  </si>
  <si>
    <t xml:space="preserve">Thanksgiving</t>
  </si>
  <si>
    <t xml:space="preserve">event</t>
  </si>
  <si>
    <t xml:space="preserve">Niche (pied de page)</t>
  </si>
  <si>
    <t xml:space="preserve">Sélection d'arts de la table de fête</t>
  </si>
  <si>
    <t xml:space="preserve">niche</t>
  </si>
  <si>
    <t xml:space="preserve">Date de l'événement (AAAA-MM-JJ)</t>
  </si>
  <si>
    <t xml:space="preserve">2026-11-26</t>
  </si>
  <si>
    <t xml:space="preserve">event_date</t>
  </si>
  <si>
    <t xml:space="preserve">Date limite de commande (AAAA-MM-JJ)</t>
  </si>
  <si>
    <t xml:space="preserve">2026-11-22</t>
  </si>
  <si>
    <t xml:space="preserve">deadline</t>
  </si>
  <si>
    <t xml:space="preserve">Titre du hero (*italique*)</t>
  </si>
  <si>
    <t xml:space="preserve">Recevez comme au restaurant, *à la maison*.</t>
  </si>
  <si>
    <t xml:space="preserve">h1</t>
  </si>
  <si>
    <t xml:space="preserve">Sous-titre du hero</t>
  </si>
  <si>
    <t xml:space="preserve">Assiettes en grès, verres ambrés, bougeoirs et chemin de table assortis, choisis parmi des produits très bien notés sur Amazon. Indiquez le nombre d'invités : on calcule la liste, vous ajoutez tout au panier en un clic.</t>
  </si>
  <si>
    <t xml:space="preserve">lead</t>
  </si>
  <si>
    <t xml:space="preserve">Urgence : titre (*italique*)</t>
  </si>
  <si>
    <t xml:space="preserve">Black Friday tombe *le lendemain* de Thanksgiving.</t>
  </si>
  <si>
    <t xml:space="preserve">urg_t</t>
  </si>
  <si>
    <t xml:space="preserve">Urgence : texte</t>
  </si>
  <si>
    <t xml:space="preserve">Si vous attendez les promos du 27 novembre, votre table arrivera après le dîner. Commandez avant le 22 novembre pour être livré à temps.</t>
  </si>
  <si>
    <t xml:space="preserve">urg_p</t>
  </si>
  <si>
    <t xml:space="preserve">Formule Essentielle : description</t>
  </si>
  <si>
    <t xml:space="preserve">Le nécessaire pour une belle table.</t>
  </si>
  <si>
    <t xml:space="preserve">d_ess</t>
  </si>
  <si>
    <t xml:space="preserve">Formule Complète : description</t>
  </si>
  <si>
    <t xml:space="preserve">La table de fête, dinde comprise.</t>
  </si>
  <si>
    <t xml:space="preserve">d_com</t>
  </si>
  <si>
    <t xml:space="preserve">Formule Prestige : description</t>
  </si>
  <si>
    <t xml:space="preserve">Toute la table, avec la carafe design.</t>
  </si>
  <si>
    <t xml:space="preserve">d_pre</t>
  </si>
  <si>
    <t xml:space="preserve">Nombre d'invités par défaut</t>
  </si>
  <si>
    <t xml:space="preserve">guests</t>
  </si>
  <si>
    <t xml:space="preserve">Formule par défaut</t>
  </si>
  <si>
    <t xml:space="preserve">Complète</t>
  </si>
  <si>
    <t xml:space="preserve">tier</t>
  </si>
  <si>
    <t xml:space="preserve">Date du relevé des prix</t>
  </si>
  <si>
    <t xml:space="preserve">30/09/2026</t>
  </si>
  <si>
    <t xml:space="preserve">price_date</t>
  </si>
  <si>
    <t xml:space="preserve">Couleurs / ambiance (info)</t>
  </si>
  <si>
    <t xml:space="preserve">Lin clair, bordeaux, doré, vert forêt</t>
  </si>
  <si>
    <t xml:space="preserve">colors</t>
  </si>
  <si>
    <t xml:space="preserve">n</t>
  </si>
  <si>
    <t xml:space="preserve">show</t>
  </si>
  <si>
    <t xml:space="preserve">link</t>
  </si>
  <si>
    <t xml:space="preserve">name</t>
  </si>
  <si>
    <t xml:space="preserve">short</t>
  </si>
  <si>
    <t xml:space="preserve">cat</t>
  </si>
  <si>
    <t xml:space="preserve">price</t>
  </si>
  <si>
    <t xml:space="preserve">was</t>
  </si>
  <si>
    <t xml:space="preserve">disc</t>
  </si>
  <si>
    <t xml:space="preserve">rate</t>
  </si>
  <si>
    <t xml:space="preserve">nrev</t>
  </si>
  <si>
    <t xml:space="preserve">asin</t>
  </si>
  <si>
    <t xml:space="preserve">badge</t>
  </si>
  <si>
    <t xml:space="preserve">why</t>
  </si>
  <si>
    <t xml:space="preserve">bul</t>
  </si>
  <si>
    <t xml:space="preserve">img</t>
  </si>
  <si>
    <t xml:space="preserve">more</t>
  </si>
  <si>
    <t xml:space="preserve">lot</t>
  </si>
  <si>
    <t xml:space="preserve">unit</t>
  </si>
  <si>
    <t xml:space="preserve">per</t>
  </si>
  <si>
    <t xml:space="preserve">feature</t>
  </si>
  <si>
    <t xml:space="preserve">hero</t>
  </si>
  <si>
    <t xml:space="preserve">step</t>
  </si>
  <si>
    <t xml:space="preserve">tip</t>
  </si>
  <si>
    <t xml:space="preserve">kw</t>
  </si>
  <si>
    <t xml:space="preserve">search</t>
  </si>
  <si>
    <t xml:space="preserve">final</t>
  </si>
  <si>
    <t xml:space="preserve">status</t>
  </si>
  <si>
    <t xml:space="preserve">notes</t>
  </si>
  <si>
    <t xml:space="preserve">N°</t>
  </si>
  <si>
    <t xml:space="preserve">Afficher sur le site ?</t>
  </si>
  <si>
    <t xml:space="preserve">✍ Lien produit Amazon (SiteStripe)</t>
  </si>
  <si>
    <t xml:space="preserve">Nom du produit</t>
  </si>
  <si>
    <t xml:space="preserve">Nom court</t>
  </si>
  <si>
    <t xml:space="preserve">Marque</t>
  </si>
  <si>
    <t xml:space="preserve">Catégorie (filtre)</t>
  </si>
  <si>
    <t xml:space="preserve">Prix indicatif (€)</t>
  </si>
  <si>
    <t xml:space="preserve">Prix barré (€)</t>
  </si>
  <si>
    <t xml:space="preserve">Réduction</t>
  </si>
  <si>
    <t xml:space="preserve">Note Amazon (/5)</t>
  </si>
  <si>
    <t xml:space="preserve">Nombre d'avis</t>
  </si>
  <si>
    <t xml:space="preserve">ASIN</t>
  </si>
  <si>
    <t xml:space="preserve">Badge</t>
  </si>
  <si>
    <t xml:space="preserve">Pourquoi on l'a choisi (texte de vente)</t>
  </si>
  <si>
    <t xml:space="preserve">Points forts (séparés par ;)</t>
  </si>
  <si>
    <t xml:space="preserve">Image principale (URL)</t>
  </si>
  <si>
    <t xml:space="preserve">Autres images (URL ; URL)</t>
  </si>
  <si>
    <t xml:space="preserve">Formule minimale</t>
  </si>
  <si>
    <t xml:space="preserve">Taille du lot</t>
  </si>
  <si>
    <t xml:space="preserve">Unité</t>
  </si>
  <si>
    <t xml:space="preserve">1 lot pour … invités (vide = 1 lot)</t>
  </si>
  <si>
    <t xml:space="preserve">Mise en avant ?</t>
  </si>
  <si>
    <t xml:space="preserve">Position dans le hero (1 à 4)</t>
  </si>
  <si>
    <t xml:space="preserve">Étape du guide</t>
  </si>
  <si>
    <t xml:space="preserve">Conseil de l'étape</t>
  </si>
  <si>
    <t xml:space="preserve">Mots-clés Amazon (pour chercher)</t>
  </si>
  <si>
    <t xml:space="preserve">Chercher sur Amazon</t>
  </si>
  <si>
    <t xml:space="preserve">Lien final pour le site</t>
  </si>
  <si>
    <t xml:space="preserve">Statut</t>
  </si>
  <si>
    <t xml:space="preserve">Notes</t>
  </si>
  <si>
    <t xml:space="preserve">Oui</t>
  </si>
  <si>
    <t xml:space="preserve">https://link.amazon/B0f7BvgnY</t>
  </si>
  <si>
    <t xml:space="preserve">Assiettes plates en grès émaillé, lot de 6</t>
  </si>
  <si>
    <t xml:space="preserve">Assiettes</t>
  </si>
  <si>
    <t xml:space="preserve">Amazon Basics</t>
  </si>
  <si>
    <t xml:space="preserve">Vaisselle</t>
  </si>
  <si>
    <t xml:space="preserve">B0F4QJFY82</t>
  </si>
  <si>
    <t xml:space="preserve">Le grès donne un rendu de restaurant et passe au lave-vaisselle. C'est la base de toute la table.</t>
  </si>
  <si>
    <t xml:space="preserve">Lot de 6 assiettes de 26,7 cm ; Micro-ondes et lave-vaisselle ; Grès émaillé ivoire, qui ne craint pas les taches</t>
  </si>
  <si>
    <t xml:space="preserve">https://m.media-amazon.com/images/I/61LZdZUWE3L._AC_SL1500_.jpg</t>
  </si>
  <si>
    <t xml:space="preserve">https://m.media-amazon.com/images/I/51Pb08v7pmL.jpg ; https://m.media-amazon.com/images/I/41TONZmF+CL.jpg ; https://m.media-amazon.com/images/I/519e3iSU4KL.jpg</t>
  </si>
  <si>
    <t xml:space="preserve">Essentielle</t>
  </si>
  <si>
    <t xml:space="preserve">assiettes</t>
  </si>
  <si>
    <t xml:space="preserve">2. Les assiettes</t>
  </si>
  <si>
    <t xml:space="preserve">Une assiette par invité, à 2 cm du bord, avec la serviette pliée posée dessus.</t>
  </si>
  <si>
    <t xml:space="preserve">assiettes grès lot de 6</t>
  </si>
  <si>
    <t xml:space="preserve">Validé</t>
  </si>
  <si>
    <t xml:space="preserve">Note relevée : 4,5/5 (182 avis)</t>
  </si>
  <si>
    <t xml:space="preserve">https://link.amazon/B0gMFQTug</t>
  </si>
  <si>
    <t xml:space="preserve">Verres Duralex Picardie ambre, lot de 6</t>
  </si>
  <si>
    <t xml:space="preserve">Verres ambrés</t>
  </si>
  <si>
    <t xml:space="preserve">Duralex</t>
  </si>
  <si>
    <t xml:space="preserve">Verres</t>
  </si>
  <si>
    <t xml:space="preserve">B00K24HHSW</t>
  </si>
  <si>
    <t xml:space="preserve">Petit prix</t>
  </si>
  <si>
    <t xml:space="preserve">Le verre des cafés français, en verre trempé. Sa teinte ambrée réchauffe la table à la lumière des bougies.</t>
  </si>
  <si>
    <t xml:space="preserve">6 verres de 25 cl ; Verre trempé très résistant ; Duralex, marque française</t>
  </si>
  <si>
    <t xml:space="preserve">https://m.media-amazon.com/images/I/61rCURWPlfL._AC_SL1500_.jpg</t>
  </si>
  <si>
    <t xml:space="preserve">https://m.media-amazon.com/images/I/519KAqZbhgL.jpg ; https://m.media-amazon.com/images/I/510GT92m8kL.jpg ; https://m.media-amazon.com/images/I/51unT7OVegL.jpg</t>
  </si>
  <si>
    <t xml:space="preserve">verres</t>
  </si>
  <si>
    <t xml:space="preserve">Non</t>
  </si>
  <si>
    <t xml:space="preserve">3. Les verres</t>
  </si>
  <si>
    <t xml:space="preserve">En haut à droite de chaque assiette, un verre ambré par invité.</t>
  </si>
  <si>
    <t xml:space="preserve">verres ambrés lot de 6</t>
  </si>
  <si>
    <t xml:space="preserve">https://link.amazon/A09WxWhqV</t>
  </si>
  <si>
    <t xml:space="preserve">Bougeoirs carrés en métal noir, lot de 4</t>
  </si>
  <si>
    <t xml:space="preserve">Bougeoirs</t>
  </si>
  <si>
    <t xml:space="preserve">heimzeit</t>
  </si>
  <si>
    <t xml:space="preserve">Déco</t>
  </si>
  <si>
    <t xml:space="preserve">B0CJJS1KRR</t>
  </si>
  <si>
    <t xml:space="preserve">Des chandelles alignées sur le chemin de table : l'effet dîner de fête immédiat, pour moins de 17 €.</t>
  </si>
  <si>
    <t xml:space="preserve">Lot de 4, 5 × 5 cm ; Pour bougies de Ø 22 mm ; Fer enduit, résistant à la rouille</t>
  </si>
  <si>
    <t xml:space="preserve">https://m.media-amazon.com/images/I/61UFEOLJbxL._AC_SL1500_.jpg</t>
  </si>
  <si>
    <t xml:space="preserve">https://m.media-amazon.com/images/I/51GvJANh65L.jpg ; https://m.media-amazon.com/images/I/316lH6njzjL.jpg</t>
  </si>
  <si>
    <t xml:space="preserve">bougeoirs</t>
  </si>
  <si>
    <t xml:space="preserve">4. La lumière</t>
  </si>
  <si>
    <t xml:space="preserve">Les bougeoirs alignés sur le chemin. Le plat de dinde au centre, au moment du service.</t>
  </si>
  <si>
    <t xml:space="preserve">bougeoirs métal lot de 4</t>
  </si>
  <si>
    <t xml:space="preserve">https://link.amazon/A0dfoxWJ8</t>
  </si>
  <si>
    <t xml:space="preserve">Chemin de table en rouleau, 30 cm × 25 m</t>
  </si>
  <si>
    <t xml:space="preserve">Chemin de table</t>
  </si>
  <si>
    <t xml:space="preserve">100%Mosel</t>
  </si>
  <si>
    <t xml:space="preserve">B0CNTZT6ST</t>
  </si>
  <si>
    <t xml:space="preserve">9 800+ avis</t>
  </si>
  <si>
    <t xml:space="preserve">Coupé à la longueur exacte de votre table. Le bleu nuit fait ressortir l'ivoire des assiettes et l'ambre des verres.</t>
  </si>
  <si>
    <t xml:space="preserve">Rouleau de 30 cm × 25 m ; Se découpe aux ciseaux ; Tissu non tissé léger</t>
  </si>
  <si>
    <t xml:space="preserve">https://m.media-amazon.com/images/I/81j20kkyDKL._AC_SL1500_.jpg</t>
  </si>
  <si>
    <t xml:space="preserve">https://m.media-amazon.com/images/I/41pP7B4zyVL.jpg ; https://m.media-amazon.com/images/I/41S-uISZXKL.jpg</t>
  </si>
  <si>
    <t xml:space="preserve">rouleau de 25 m</t>
  </si>
  <si>
    <t xml:space="preserve">1. Le chemin de table</t>
  </si>
  <si>
    <t xml:space="preserve">Déroulez-le au centre et coupez-le 20 cm plus long de chaque côté de la table.</t>
  </si>
  <si>
    <t xml:space="preserve">chemin de table rouleau</t>
  </si>
  <si>
    <t xml:space="preserve">Couleur bleu nuit. Existe peut-être en bordeaux ou doré sur la même fiche.</t>
  </si>
  <si>
    <t xml:space="preserve">https://link.amazon/B06UH3b7d</t>
  </si>
  <si>
    <t xml:space="preserve">Plat de service ovale Mikasa en grès, 39 cm</t>
  </si>
  <si>
    <t xml:space="preserve">Plat de service</t>
  </si>
  <si>
    <t xml:space="preserve">Mikasa</t>
  </si>
  <si>
    <t xml:space="preserve">B0CH176764</t>
  </si>
  <si>
    <t xml:space="preserve">Pour la dinde</t>
  </si>
  <si>
    <t xml:space="preserve">39 cm pour présenter la dinde découpée ou les accompagnements au centre de la table.</t>
  </si>
  <si>
    <t xml:space="preserve">Plat ovale de 39 cm ; Grès crème aux bords festonnés ; Micro-ondes et lave-vaisselle</t>
  </si>
  <si>
    <t xml:space="preserve">https://m.media-amazon.com/images/I/41Veuj0kqIL._AC_SL1500_.jpg</t>
  </si>
  <si>
    <t xml:space="preserve">https://m.media-amazon.com/images/I/41KsppeqlyL.jpg ; https://m.media-amazon.com/images/I/414paO8DXrL.jpg ; https://m.media-amazon.com/images/I/51PS5cULdtL.jpg</t>
  </si>
  <si>
    <t xml:space="preserve">plat</t>
  </si>
  <si>
    <t xml:space="preserve">plat de service ovale grès</t>
  </si>
  <si>
    <t xml:space="preserve">https://link.amazon/B0iwpYq7J</t>
  </si>
  <si>
    <t xml:space="preserve">Porte-noms de table dorés, lot de 10</t>
  </si>
  <si>
    <t xml:space="preserve">Porte-noms</t>
  </si>
  <si>
    <t xml:space="preserve">LDHHYH</t>
  </si>
  <si>
    <t xml:space="preserve">B0CJX7HYSQ</t>
  </si>
  <si>
    <t xml:space="preserve">Nouveau</t>
  </si>
  <si>
    <t xml:space="preserve">Chaque invité trouve sa place. Un détail de mariage qui fait tout son effet à Thanksgiving.</t>
  </si>
  <si>
    <t xml:space="preserve">Lot de 10, hauteur 19 cm ; Acier inoxydable doré ; Base antidérapante</t>
  </si>
  <si>
    <t xml:space="preserve">https://m.media-amazon.com/images/I/61WevwooYYL._AC_SL1500_.jpg</t>
  </si>
  <si>
    <t xml:space="preserve">https://m.media-amazon.com/images/I/41pgUYmsKML.jpg ; https://m.media-amazon.com/images/I/41RLTvM2PrL.jpg</t>
  </si>
  <si>
    <t xml:space="preserve">porte-noms</t>
  </si>
  <si>
    <t xml:space="preserve">porte nom table doré</t>
  </si>
  <si>
    <t xml:space="preserve">Seulement 10 avis sur Amazon.</t>
  </si>
  <si>
    <t xml:space="preserve">https://link.amazon/A0ifRWvCt</t>
  </si>
  <si>
    <t xml:space="preserve">Carafe filtrante Aarke Purifier, 2,4 L</t>
  </si>
  <si>
    <t xml:space="preserve">Carafe Aarke</t>
  </si>
  <si>
    <t xml:space="preserve">Aarke</t>
  </si>
  <si>
    <t xml:space="preserve">B0BTZ66WG2</t>
  </si>
  <si>
    <t xml:space="preserve">Premium</t>
  </si>
  <si>
    <t xml:space="preserve">La carafe design qui filtre l'eau du robinet. Belle sur la table, utile toute l'année.</t>
  </si>
  <si>
    <t xml:space="preserve">2,4 litres ; Verre et acier, sans plastique ; 3 recharges de filtre incluses</t>
  </si>
  <si>
    <t xml:space="preserve">https://m.media-amazon.com/images/I/713jflGlKdL._AC_SL1500_.jpg</t>
  </si>
  <si>
    <t xml:space="preserve">https://m.media-amazon.com/images/I/41WOJI-jggL.jpg ; https://m.media-amazon.com/images/I/414h9FwbWnL.jpg</t>
  </si>
  <si>
    <t xml:space="preserve">Prestige</t>
  </si>
  <si>
    <t xml:space="preserve">carafe</t>
  </si>
  <si>
    <t xml:space="preserve">carafe verre</t>
  </si>
  <si>
    <t xml:space="preserve">Chère (155 €) : réservée à la formule Prestige.</t>
  </si>
  <si>
    <t xml:space="preserve">https://link.amazon/A06301FIk</t>
  </si>
  <si>
    <t xml:space="preserve">Serviettes Möve Superwuschel, lot de 3</t>
  </si>
  <si>
    <t xml:space="preserve">Serviettes</t>
  </si>
  <si>
    <t xml:space="preserve">Möve</t>
  </si>
  <si>
    <t xml:space="preserve">B07YVNXJ5F</t>
  </si>
  <si>
    <t xml:space="preserve">50 × 100 cm ; 100 % coton ; Lavables à 60 °C</t>
  </si>
  <si>
    <t xml:space="preserve">https://m.media-amazon.com/images/I/91LaQKtRRHL._AC_SL1500_.jpg</t>
  </si>
  <si>
    <t xml:space="preserve">https://m.media-amazon.com/images/I/51QDNk8g05L.jpg ; https://m.media-amazon.com/images/I/51jkfUrq1vL.jpg</t>
  </si>
  <si>
    <t xml:space="preserve">serviettes</t>
  </si>
  <si>
    <t xml:space="preserve">serviettes de table lin lot de 6</t>
  </si>
  <si>
    <t xml:space="preserve">À remplacer</t>
  </si>
  <si>
    <t xml:space="preserve">Ce sont des serviettes de TOILETTE. Colle ici le lien de serviettes de table en lin (lot de 6) : Claude remplira le reste et passera la ligne à « Oui ».</t>
  </si>
  <si>
    <t xml:space="preserve">Légende : jaune = à remplir par toi (le lien Amazon) · crème = rédigé par Claude · bleu = calculé · ligne grise = masquée sur le site.</t>
  </si>
  <si>
    <t xml:space="preserve">Thanksgiving · Site 2 : site d'un seul produit (Juste Cuisson · MEATER)</t>
  </si>
  <si>
    <t xml:space="preserve">Toi : seulement les cellules jaunes (liens Amazon), si tu veux mettre tes propres liens SiteStripe. Claude : tout le reste. Chaque tableau se lit de haut en bas, dans l'ordre d'affichage.</t>
  </si>
  <si>
    <t xml:space="preserve">1. Réglages du site</t>
  </si>
  <si>
    <t xml:space="preserve">Juste *Cuisson*</t>
  </si>
  <si>
    <t xml:space="preserve">Thermomètre à viande sans fil pour Thanksgiving</t>
  </si>
  <si>
    <t xml:space="preserve">Sur-titre du produit</t>
  </si>
  <si>
    <t xml:space="preserve">Édition Thanksgiving 2026</t>
  </si>
  <si>
    <t xml:space="preserve">eyebrow</t>
  </si>
  <si>
    <t xml:space="preserve">Accroche sous le nom du produit</t>
  </si>
  <si>
    <t xml:space="preserve">Le thermomètre 100 % sans fil qui surveille votre dinde à votre place. Vous restez à table, il vous prévient quand c'est cuit.</t>
  </si>
  <si>
    <t xml:space="preserve">tagline</t>
  </si>
  <si>
    <t xml:space="preserve">3 arguments rapides (séparés par ;)</t>
  </si>
  <si>
    <t xml:space="preserve">Sonde 100 % sans fil : le four reste fermé ; Alerte sur votre téléphone, jusqu'à 50 m ; Appli gratuite en français, cuisson guidée</t>
  </si>
  <si>
    <t xml:space="preserve">quick</t>
  </si>
  <si>
    <t xml:space="preserve">Grand bandeau : titre (*italique*)</t>
  </si>
  <si>
    <t xml:space="preserve">Cette année, la dinde *ne sera pas sèche*.</t>
  </si>
  <si>
    <t xml:space="preserve">banner_t</t>
  </si>
  <si>
    <t xml:space="preserve">Grand bandeau : texte</t>
  </si>
  <si>
    <t xml:space="preserve">Le jeudi 26 novembre, il y aura toute la famille. Et il y aura votre dinde : dorée dehors, juteuse à cœur, servie à l'heure.</t>
  </si>
  <si>
    <t xml:space="preserve">banner_p</t>
  </si>
  <si>
    <t xml:space="preserve">Problème : titre (*italique*)</t>
  </si>
  <si>
    <t xml:space="preserve">Ouvrir le four toutes les dix minutes, *c'est rater la dinde*.</t>
  </si>
  <si>
    <t xml:space="preserve">problem_t</t>
  </si>
  <si>
    <t xml:space="preserve">Problème : texte</t>
  </si>
  <si>
    <t xml:space="preserve">Chaque ouverture fait chuter la température et rallonge la cuisson. Trop cuite, la dinde est sèche. Pas assez, elle n'est pas sûre. La sonde mesure la température à cœur en continu, four fermé, et vous prévient au bon moment.</t>
  </si>
  <si>
    <t xml:space="preserve">problem_p</t>
  </si>
  <si>
    <t xml:space="preserve">Comparatif : noms des 3 colonnes (;)</t>
  </si>
  <si>
    <t xml:space="preserve">MEATER Plus ; Thermomètre à sonde classique ; À l'œil</t>
  </si>
  <si>
    <t xml:space="preserve">compare_cols</t>
  </si>
  <si>
    <t xml:space="preserve">Garantie</t>
  </si>
  <si>
    <t xml:space="preserve">Vous achetez sur Amazon : paiement sécurisé, livraison suivie et retours selon les conditions Amazon, en général sous 30 jours.</t>
  </si>
  <si>
    <t xml:space="preserve">guarantee</t>
  </si>
  <si>
    <t xml:space="preserve">Appel final : titre (*italique*)</t>
  </si>
  <si>
    <t xml:space="preserve">Le 26 novembre *n'attendra pas*.</t>
  </si>
  <si>
    <t xml:space="preserve">final_t</t>
  </si>
  <si>
    <t xml:space="preserve">Appel final : texte</t>
  </si>
  <si>
    <t xml:space="preserve">Commandez avant le 22 novembre pour être livré à temps. Il reste :</t>
  </si>
  <si>
    <t xml:space="preserve">final_p</t>
  </si>
  <si>
    <t xml:space="preserve">2. Les modèles proposés (le visiteur choisit ; « Par défaut » = Oui sur un seul)</t>
  </si>
  <si>
    <t xml:space="preserve">table:variants</t>
  </si>
  <si>
    <t xml:space="preserve">desc</t>
  </si>
  <si>
    <t xml:space="preserve">default</t>
  </si>
  <si>
    <t xml:space="preserve">Nom du modèle</t>
  </si>
  <si>
    <t xml:space="preserve">✍ Lien Amazon</t>
  </si>
  <si>
    <t xml:space="preserve">Description courte</t>
  </si>
  <si>
    <t xml:space="preserve">Note /5</t>
  </si>
  <si>
    <t xml:space="preserve">Image (URL)</t>
  </si>
  <si>
    <t xml:space="preserve">Par défaut ?</t>
  </si>
  <si>
    <t xml:space="preserve">L'essentiel</t>
  </si>
  <si>
    <t xml:space="preserve">MEATER SE</t>
  </si>
  <si>
    <t xml:space="preserve">https://www.amazon.fr/dp/B0D2LQGJ2V?tag=iphonehub210a-21</t>
  </si>
  <si>
    <t xml:space="preserve">1 sonde sans fil, portée Bluetooth jusqu'à 50 m, cuisson guidée dans l'appli. Le modèle d'entrée de gamme.</t>
  </si>
  <si>
    <t xml:space="preserve">B0D2LQGJ2V</t>
  </si>
  <si>
    <t xml:space="preserve">https://m.media-amazon.com/images/I/61lT6LnsjXL._AC_SL1500_.jpg</t>
  </si>
  <si>
    <t xml:space="preserve">Notre choix</t>
  </si>
  <si>
    <t xml:space="preserve">MEATER Plus</t>
  </si>
  <si>
    <t xml:space="preserve">https://www.amazon.fr/dp/B07H8WTFHW?tag=iphonehub210a-21</t>
  </si>
  <si>
    <t xml:space="preserve">1 sonde 100 % sans fil, Bluetooth et Wi-Fi via MEATER Cloud, portée jusqu'à 50 m. Le plus noté des trois.</t>
  </si>
  <si>
    <t xml:space="preserve">B07H8WTFHW</t>
  </si>
  <si>
    <t xml:space="preserve">https://m.media-amazon.com/images/I/61C9DAvebML._AC_SL1500_.jpg</t>
  </si>
  <si>
    <t xml:space="preserve">Grande tablée</t>
  </si>
  <si>
    <t xml:space="preserve">MEATER Block (4 sondes)</t>
  </si>
  <si>
    <t xml:space="preserve">https://www.amazon.fr/dp/B07TJ95CBM?tag=iphonehub210a-21</t>
  </si>
  <si>
    <t xml:space="preserve">4 sondes pour la dinde et les accompagnements en même temps. Relais Bluetooth intégré, fonctionne même sans téléphone.</t>
  </si>
  <si>
    <t xml:space="preserve">B07TJ95CBM</t>
  </si>
  <si>
    <t xml:space="preserve">https://m.media-amazon.com/images/I/61UoSbiv5pL._AC_SL1500_.jpg</t>
  </si>
  <si>
    <t xml:space="preserve">3. Photos du produit principal (la 1re est la photo principale)</t>
  </si>
  <si>
    <t xml:space="preserve">table:gallery</t>
  </si>
  <si>
    <t xml:space="preserve">alt</t>
  </si>
  <si>
    <t xml:space="preserve">Description de la photo</t>
  </si>
  <si>
    <t xml:space="preserve">MEATER Plus, photo 1</t>
  </si>
  <si>
    <t xml:space="preserve">https://m.media-amazon.com/images/I/81eV7iIexdL._AC_SL1500_.jpg</t>
  </si>
  <si>
    <t xml:space="preserve">MEATER Plus, photo 2</t>
  </si>
  <si>
    <t xml:space="preserve">https://m.media-amazon.com/images/I/81wkZSDjXuL._AC_SL1500_.jpg</t>
  </si>
  <si>
    <t xml:space="preserve">MEATER Plus, photo 3</t>
  </si>
  <si>
    <t xml:space="preserve">https://m.media-amazon.com/images/I/815wTsnsBQL._AC_SL1500_.jpg</t>
  </si>
  <si>
    <t xml:space="preserve">MEATER Plus, photo 4</t>
  </si>
  <si>
    <t xml:space="preserve">https://m.media-amazon.com/images/I/81XsgqCQZFL._AC_SL1500_.jpg</t>
  </si>
  <si>
    <t xml:space="preserve">MEATER Plus, photo 5</t>
  </si>
  <si>
    <t xml:space="preserve">https://m.media-amazon.com/images/I/71ob5DdqsbL._AC_SL1500_.jpg</t>
  </si>
  <si>
    <t xml:space="preserve">MEATER Plus, photo 6</t>
  </si>
  <si>
    <t xml:space="preserve">https://m.media-amazon.com/images/I/81JWYW9cQFL._AC_SL1500_.jpg</t>
  </si>
  <si>
    <t xml:space="preserve">MEATER Plus, photo 7</t>
  </si>
  <si>
    <t xml:space="preserve">https://m.media-amazon.com/images/I/71Ryd62dTGL._AC_SL1500_.jpg</t>
  </si>
  <si>
    <t xml:space="preserve">MEATER Plus, photo 8</t>
  </si>
  <si>
    <t xml:space="preserve">4. Bénéfices (6)</t>
  </si>
  <si>
    <t xml:space="preserve">table:benefits</t>
  </si>
  <si>
    <t xml:space="preserve">title</t>
  </si>
  <si>
    <t xml:space="preserve">text</t>
  </si>
  <si>
    <t xml:space="preserve">Titre</t>
  </si>
  <si>
    <t xml:space="preserve">Texte</t>
  </si>
  <si>
    <t xml:space="preserve">Le four reste fermé</t>
  </si>
  <si>
    <t xml:space="preserve">La sonde 100 % sans fil reste plantée dans la dinde du début à la fin. Plus besoin d'ouvrir pour vérifier.</t>
  </si>
  <si>
    <t xml:space="preserve">Alerte sur votre téléphone</t>
  </si>
  <si>
    <t xml:space="preserve">Vous êtes prévenu quand la température cible est atteinte, jusqu'à 50 m du four.</t>
  </si>
  <si>
    <t xml:space="preserve">2 capteurs en 1</t>
  </si>
  <si>
    <t xml:space="preserve">La température à cœur de la viande (jusqu'à 100 °C) et celle du four (jusqu'à 275 °C), en même temps.</t>
  </si>
  <si>
    <t xml:space="preserve">Cuisson guidée</t>
  </si>
  <si>
    <t xml:space="preserve">L'appli gratuite, en français, vous guide étape par étape et vous dit quand sortir la viande.</t>
  </si>
  <si>
    <t xml:space="preserve">Four, barbecue, fumoir</t>
  </si>
  <si>
    <t xml:space="preserve">Four, grill, barbecue, fumoir ou rôtissoire : la même sonde pour tous les repas de l'année.</t>
  </si>
  <si>
    <t xml:space="preserve">Réponse en 3 secondes</t>
  </si>
  <si>
    <t xml:space="preserve">La température s'affiche en temps réel. Une charge suffit pour environ 24 h de cuisson.</t>
  </si>
  <si>
    <t xml:space="preserve">5. Comment ça marche (3 étapes)</t>
  </si>
  <si>
    <t xml:space="preserve">table:steps</t>
  </si>
  <si>
    <t xml:space="preserve">Plantez la sonde</t>
  </si>
  <si>
    <t xml:space="preserve">Au cœur de la partie la plus épaisse de la dinde, avant de l'enfourner.</t>
  </si>
  <si>
    <t xml:space="preserve">Choisissez la cuisson</t>
  </si>
  <si>
    <t xml:space="preserve">Dans l'appli MEATER : le type de viande et la cuisson voulue. L'appli fixe la température cible.</t>
  </si>
  <si>
    <t xml:space="preserve">Recevez l'alerte</t>
  </si>
  <si>
    <t xml:space="preserve">Votre téléphone vous prévient quand c'est prêt. Sortez la dinde, laissez-la reposer, servez.</t>
  </si>
  <si>
    <t xml:space="preserve">6. Caractéristiques du MEATER Plus</t>
  </si>
  <si>
    <t xml:space="preserve">table:specs</t>
  </si>
  <si>
    <t xml:space="preserve">label</t>
  </si>
  <si>
    <t xml:space="preserve">value</t>
  </si>
  <si>
    <t xml:space="preserve">Caractéristique</t>
  </si>
  <si>
    <t xml:space="preserve">Valeur</t>
  </si>
  <si>
    <t xml:space="preserve">Sonde</t>
  </si>
  <si>
    <t xml:space="preserve">100 % sans fil, acier inoxydable</t>
  </si>
  <si>
    <t xml:space="preserve">Portée</t>
  </si>
  <si>
    <t xml:space="preserve">Jusqu'à 50 m en Bluetooth, plus loin en Wi-Fi via MEATER Cloud</t>
  </si>
  <si>
    <t xml:space="preserve">Capteurs</t>
  </si>
  <si>
    <t xml:space="preserve">Viande jusqu'à 100 °C · four jusqu'à 275 °C</t>
  </si>
  <si>
    <t xml:space="preserve">Autonomie</t>
  </si>
  <si>
    <t xml:space="preserve">Environ 24 h par charge</t>
  </si>
  <si>
    <t xml:space="preserve">Temps de réponse</t>
  </si>
  <si>
    <t xml:space="preserve">3 secondes</t>
  </si>
  <si>
    <t xml:space="preserve">Recharge</t>
  </si>
  <si>
    <t xml:space="preserve">Chargeur alimenté par 1 pile AAA (incluse)</t>
  </si>
  <si>
    <t xml:space="preserve">Application</t>
  </si>
  <si>
    <t xml:space="preserve">Gratuite, en français, sur smartphone et tablette</t>
  </si>
  <si>
    <t xml:space="preserve">Entretien</t>
  </si>
  <si>
    <t xml:space="preserve">Essuyer la sonde, ne pas la laisser tremper</t>
  </si>
  <si>
    <t xml:space="preserve">7. Dans la boîte</t>
  </si>
  <si>
    <t xml:space="preserve">table:box</t>
  </si>
  <si>
    <t xml:space="preserve">item</t>
  </si>
  <si>
    <t xml:space="preserve">Élément</t>
  </si>
  <si>
    <t xml:space="preserve">La sonde MEATER Plus</t>
  </si>
  <si>
    <t xml:space="preserve">Le chargeur</t>
  </si>
  <si>
    <t xml:space="preserve">1 pile AAA</t>
  </si>
  <si>
    <t xml:space="preserve">8. Comparatif (✓ / ✗ ou texte)</t>
  </si>
  <si>
    <t xml:space="preserve">table:compare</t>
  </si>
  <si>
    <t xml:space="preserve">crit</t>
  </si>
  <si>
    <t xml:space="preserve">c1</t>
  </si>
  <si>
    <t xml:space="preserve">c2</t>
  </si>
  <si>
    <t xml:space="preserve">c3</t>
  </si>
  <si>
    <t xml:space="preserve">Critère</t>
  </si>
  <si>
    <t xml:space="preserve">Colonne 1</t>
  </si>
  <si>
    <t xml:space="preserve">Colonne 2</t>
  </si>
  <si>
    <t xml:space="preserve">Colonne 3</t>
  </si>
  <si>
    <t xml:space="preserve">Le four reste fermé pendant la cuisson</t>
  </si>
  <si>
    <t xml:space="preserve">✓</t>
  </si>
  <si>
    <t xml:space="preserve">✗</t>
  </si>
  <si>
    <t xml:space="preserve">Alerte sur le téléphone</t>
  </si>
  <si>
    <t xml:space="preserve">Température du four en même temps</t>
  </si>
  <si>
    <t xml:space="preserve">Cuisson guidée pas à pas</t>
  </si>
  <si>
    <t xml:space="preserve">Température à cœur précise</t>
  </si>
  <si>
    <t xml:space="preserve">Prix</t>
  </si>
  <si>
    <t xml:space="preserve">99 €</t>
  </si>
  <si>
    <t xml:space="preserve">≈ 15 €</t>
  </si>
  <si>
    <t xml:space="preserve">0 €</t>
  </si>
  <si>
    <t xml:space="preserve">9. Accessoires recommandés (ajoutables au panier avec le thermomètre)</t>
  </si>
  <si>
    <t xml:space="preserve">table:accessories</t>
  </si>
  <si>
    <t xml:space="preserve">Nom</t>
  </si>
  <si>
    <t xml:space="preserve">Pourquoi</t>
  </si>
  <si>
    <t xml:space="preserve">Plat à rôtir Onlyfire avec grille, 40 cm</t>
  </si>
  <si>
    <t xml:space="preserve">https://www.amazon.fr/dp/B07RJ2XY3C?tag=iphonehub210a-21</t>
  </si>
  <si>
    <t xml:space="preserve">Plat à rôtir</t>
  </si>
  <si>
    <t xml:space="preserve">Inox, grille surélevée pour une cuisson homogène. Passe au lave-vaisselle.</t>
  </si>
  <si>
    <t xml:space="preserve">B07RJ2XY3C</t>
  </si>
  <si>
    <t xml:space="preserve">https://m.media-amazon.com/images/I/71tn2kLBHDL._AC_SL1500_.jpg</t>
  </si>
  <si>
    <t xml:space="preserve">Pinceau en silicone De Buyer, 19 cm</t>
  </si>
  <si>
    <t xml:space="preserve">https://www.amazon.fr/dp/B000TSSUOG?tag=iphonehub210a-21</t>
  </si>
  <si>
    <t xml:space="preserve">Pinceau</t>
  </si>
  <si>
    <t xml:space="preserve">Pour arroser la dinde de son jus. Résiste à 250 °C, passe au lave-vaisselle.</t>
  </si>
  <si>
    <t xml:space="preserve">B000TSSUOG</t>
  </si>
  <si>
    <t xml:space="preserve">https://m.media-amazon.com/images/I/31xHIvlfqSL._AC_SL1500_.jpg</t>
  </si>
  <si>
    <t xml:space="preserve">Gants anti-chaleur Newpop</t>
  </si>
  <si>
    <t xml:space="preserve">https://www.amazon.fr/dp/B0BHLD4WP8?tag=iphonehub210a-21</t>
  </si>
  <si>
    <t xml:space="preserve">Gants</t>
  </si>
  <si>
    <t xml:space="preserve">Pour sortir le plat brûlant sans se brûler. Silicone antidérapant, lavables en machine.</t>
  </si>
  <si>
    <t xml:space="preserve">B0BHLD4WP8</t>
  </si>
  <si>
    <t xml:space="preserve">https://m.media-amazon.com/images/I/71u5jAIds2L._AC_SL1500_.jpg</t>
  </si>
  <si>
    <t xml:space="preserve">10. Questions fréquentes</t>
  </si>
  <si>
    <t xml:space="preserve">table:faq</t>
  </si>
  <si>
    <t xml:space="preserve">q</t>
  </si>
  <si>
    <t xml:space="preserve">a</t>
  </si>
  <si>
    <t xml:space="preserve">Question</t>
  </si>
  <si>
    <t xml:space="preserve">Réponse</t>
  </si>
  <si>
    <t xml:space="preserve">Fonctionne-t-il avec un four fermé ?</t>
  </si>
  <si>
    <t xml:space="preserve">Oui. La sonde est 100 % sans fil : elle reste dans la dinde, porte du four fermée, et envoie la température à votre téléphone.</t>
  </si>
  <si>
    <t xml:space="preserve">Faut-il un abonnement ?</t>
  </si>
  <si>
    <t xml:space="preserve">Non. L'application MEATER est gratuite et disponible en français.</t>
  </si>
  <si>
    <t xml:space="preserve">Quel modèle choisir ?</t>
  </si>
  <si>
    <t xml:space="preserve">Pour une dinde : le MEATER Plus. Pour surveiller la dinde et les accompagnements en même temps : le MEATER Block et ses 4 sondes. Pour un petit budget : le MEATER SE.</t>
  </si>
  <si>
    <t xml:space="preserve">Peut-on l'utiliser au barbecue ?</t>
  </si>
  <si>
    <t xml:space="preserve">Oui : four, grill, barbecue, fumoir et rôtissoire.</t>
  </si>
  <si>
    <t xml:space="preserve">Comment le nettoyer ?</t>
  </si>
  <si>
    <t xml:space="preserve">Essuyez la sonde avec une éponge savonneuse, sans la laisser tremper.</t>
  </si>
  <si>
    <t xml:space="preserve">Serai-je livré avant Thanksgiving ?</t>
  </si>
  <si>
    <t xml:space="preserve">Commandez avant le 22 novembre et vérifiez la date de livraison affichée par Amazon avant de valider.</t>
  </si>
  <si>
    <t xml:space="preserve">Black Friday · Site 1 : boutique multi-produits</t>
  </si>
  <si>
    <t xml:space="preserve">Réglages du site (modifiables)</t>
  </si>
  <si>
    <t xml:space="preserve">Site</t>
  </si>
  <si>
    <t xml:space="preserve">Nom du site</t>
  </si>
  <si>
    <t xml:space="preserve">VOLTA</t>
  </si>
  <si>
    <t xml:space="preserve">Niche</t>
  </si>
  <si>
    <t xml:space="preserve">Audio et accessoires</t>
  </si>
  <si>
    <t xml:space="preserve">Accroche principale</t>
  </si>
  <si>
    <t xml:space="preserve">Le son −50 %. Une semaine.</t>
  </si>
  <si>
    <t xml:space="preserve">Offre mise en avant</t>
  </si>
  <si>
    <t xml:space="preserve">Jusqu'à −50 % sur l'audio</t>
  </si>
  <si>
    <t xml:space="preserve">Date limite (compte à rebours)</t>
  </si>
  <si>
    <t xml:space="preserve">2026-11-29</t>
  </si>
  <si>
    <t xml:space="preserve">Couleurs / ambiance</t>
  </si>
  <si>
    <t xml:space="preserve">Fond #0c0c0d · accent #ffd21f · sombre</t>
  </si>
  <si>
    <t xml:space="preserve">Catégorie</t>
  </si>
  <si>
    <t xml:space="preserve">Dans le pack ?</t>
  </si>
  <si>
    <t xml:space="preserve">Mots-clés Amazon</t>
  </si>
  <si>
    <t xml:space="preserve">Lien produit Amazon (SiteStripe)</t>
  </si>
  <si>
    <t xml:space="preserve">Image collée</t>
  </si>
  <si>
    <t xml:space="preserve">Casque sans fil à réduction de bruit</t>
  </si>
  <si>
    <t xml:space="preserve">Casques</t>
  </si>
  <si>
    <t xml:space="preserve">Réduction de bruit active hybride, 40 h d'autonomie, charge rapide : 10 min pour 5 h d'écoute.</t>
  </si>
  <si>
    <t xml:space="preserve">ANC hybride, mode transparence ; 40 h d'autonomie ; Bluetooth 5.3 multipoint</t>
  </si>
  <si>
    <t xml:space="preserve">−50 %</t>
  </si>
  <si>
    <t xml:space="preserve">casque bluetooth réduction de bruit</t>
  </si>
  <si>
    <t xml:space="preserve">À trouver</t>
  </si>
  <si>
    <t xml:space="preserve">Écouteurs sans fil à réduction de bruit</t>
  </si>
  <si>
    <t xml:space="preserve">Écouteurs</t>
  </si>
  <si>
    <t xml:space="preserve">Écouteurs à réduction de bruit, étanches à la sueur et à la pluie. 30 h avec le boîtier.</t>
  </si>
  <si>
    <t xml:space="preserve">ANC jusqu'à −35 dB ; IPX5 ; Boîtier à charge sans fil</t>
  </si>
  <si>
    <t xml:space="preserve">Aucun</t>
  </si>
  <si>
    <t xml:space="preserve">écouteurs sans fil réduction de bruit</t>
  </si>
  <si>
    <t xml:space="preserve">Enceinte Bluetooth étanche</t>
  </si>
  <si>
    <t xml:space="preserve">Enceintes</t>
  </si>
  <si>
    <t xml:space="preserve">Petite, étanche, puissante. Elle flotte, résiste au sable et tient 20 h.</t>
  </si>
  <si>
    <t xml:space="preserve">IP67 ; 20 h d'autonomie ; Couplage stéréo avec une 2e enceinte</t>
  </si>
  <si>
    <t xml:space="preserve">enceinte bluetooth étanche</t>
  </si>
  <si>
    <t xml:space="preserve">Barre de son TV avec caisson</t>
  </si>
  <si>
    <t xml:space="preserve">Barre de son 2.1 avec caisson intégré. Un seul câble HDMI et le son de votre TV change complètement.</t>
  </si>
  <si>
    <t xml:space="preserve">HDMI eARC ; Mode dialogue ; Installation en 2 minutes</t>
  </si>
  <si>
    <t xml:space="preserve">Stock limité</t>
  </si>
  <si>
    <t xml:space="preserve">barre de son tv caisson</t>
  </si>
  <si>
    <t xml:space="preserve">Montre connectée GPS</t>
  </si>
  <si>
    <t xml:space="preserve">Accessoires</t>
  </si>
  <si>
    <t xml:space="preserve">Suivi sport et sommeil, GPS intégré, 10 jours d'autonomie et notifications de votre téléphone.</t>
  </si>
  <si>
    <t xml:space="preserve">GPS intégré ; 10 jours d'autonomie ; Étanche 5 ATM</t>
  </si>
  <si>
    <t xml:space="preserve">montre connectée gps</t>
  </si>
  <si>
    <t xml:space="preserve">Batterie externe 20 000 mAh</t>
  </si>
  <si>
    <t xml:space="preserve">Recharge un ordinateur portable, un téléphone et des écouteurs en même temps.</t>
  </si>
  <si>
    <t xml:space="preserve">65 W USB-C ; 3 ports ; 4 recharges de téléphone</t>
  </si>
  <si>
    <t xml:space="preserve">batterie externe 20000mah 65w</t>
  </si>
  <si>
    <t xml:space="preserve">Chargeur USB-C 65 W GaN</t>
  </si>
  <si>
    <t xml:space="preserve">Charge ordinateur, téléphone et tablette avec un seul chargeur compact.</t>
  </si>
  <si>
    <t xml:space="preserve">65 W ; 3 ports ; Format compact</t>
  </si>
  <si>
    <t xml:space="preserve">chargeur usb c 65w gan</t>
  </si>
  <si>
    <t xml:space="preserve">Casque enfant volume limité</t>
  </si>
  <si>
    <t xml:space="preserve">Casque sans fil pour enfant, volume limité à 85 dB.</t>
  </si>
  <si>
    <t xml:space="preserve">Volume limité 85 dB ; 40 h ; Pliable</t>
  </si>
  <si>
    <t xml:space="preserve">Idée cadeau</t>
  </si>
  <si>
    <t xml:space="preserve">casque bluetooth enfant volume limité</t>
  </si>
  <si>
    <t xml:space="preserve">Prix indicatifs : ajustez-les au prix réel affiché sur Amazon.</t>
  </si>
  <si>
    <t xml:space="preserve">Black Friday · Site 2 : site d'un seul produit</t>
  </si>
  <si>
    <t xml:space="preserve">Tout est pré-rempli sauf les liens et les images. Jaune = à remplir ou vérifier · bleu = calculé.</t>
  </si>
  <si>
    <t xml:space="preserve">Aéra</t>
  </si>
  <si>
    <t xml:space="preserve">Brosse soufflante 5 en 1</t>
  </si>
  <si>
    <t xml:space="preserve">Jusqu'à −40 % pendant le Black Friday</t>
  </si>
  <si>
    <t xml:space="preserve">Fond rose poudré · accent noir · ambiance salon de beauté</t>
  </si>
  <si>
    <t xml:space="preserve">2. Le produit</t>
  </si>
  <si>
    <t xml:space="preserve">Brosse soufflante 5 en 1 ionique</t>
  </si>
  <si>
    <t xml:space="preserve">Promesse (titre du hero)</t>
  </si>
  <si>
    <t xml:space="preserve">Le brushing de salon en 15 minutes, chez vous.</t>
  </si>
  <si>
    <t xml:space="preserve">Sous-titre</t>
  </si>
  <si>
    <t xml:space="preserve">Sèche, lisse, boucle et donne du volume avec un seul appareil. Prix Black Friday jusqu'au 29 novembre.</t>
  </si>
  <si>
    <t xml:space="preserve">Problème résolu</t>
  </si>
  <si>
    <t xml:space="preserve">Sèche-cheveux, lisseur, fer à boucler : trois appareils, 45 minutes le matin et des cheveux abîmés par la chaleur.</t>
  </si>
  <si>
    <t xml:space="preserve">brosse soufflante 5 en 1 ionique</t>
  </si>
  <si>
    <t xml:space="preserve">Vidéo (URL, facultatif)</t>
  </si>
  <si>
    <t xml:space="preserve">3. Images (6 conseillées, format carré)</t>
  </si>
  <si>
    <t xml:space="preserve">Image</t>
  </si>
  <si>
    <t xml:space="preserve">URL de l'image</t>
  </si>
  <si>
    <t xml:space="preserve">Principale (produit seul, fond blanc)</t>
  </si>
  <si>
    <t xml:space="preserve">En situation / lifestyle</t>
  </si>
  <si>
    <t xml:space="preserve">Détail / gros plan</t>
  </si>
  <si>
    <t xml:space="preserve">Avant / après ou résultat</t>
  </si>
  <si>
    <t xml:space="preserve">Contenu de la boîte</t>
  </si>
  <si>
    <t xml:space="preserve">Dimensions ou comparaison</t>
  </si>
  <si>
    <t xml:space="preserve">5 embouts</t>
  </si>
  <si>
    <t xml:space="preserve">Sécher, lisser, boucler à gauche et à droite, donner du volume.</t>
  </si>
  <si>
    <t xml:space="preserve">Technologie ionique</t>
  </si>
  <si>
    <t xml:space="preserve">Moins de frisottis, cheveux plus brillants.</t>
  </si>
  <si>
    <t xml:space="preserve">3 températures</t>
  </si>
  <si>
    <t xml:space="preserve">Adaptée aux cheveux fins, épais ou colorés.</t>
  </si>
  <si>
    <t xml:space="preserve">Moins de chaleur</t>
  </si>
  <si>
    <t xml:space="preserve">Coiffe à l'air chaud au lieu d'une plaque brûlante.</t>
  </si>
  <si>
    <t xml:space="preserve">Gain de temps</t>
  </si>
  <si>
    <t xml:space="preserve">Séchage et coiffage en une seule étape.</t>
  </si>
  <si>
    <t xml:space="preserve">Légère</t>
  </si>
  <si>
    <t xml:space="preserve">Se tient facilement, même bras levés.</t>
  </si>
  <si>
    <t xml:space="preserve">Séchez à 80 %</t>
  </si>
  <si>
    <t xml:space="preserve">Avec l'embout séchage.</t>
  </si>
  <si>
    <t xml:space="preserve">Choisissez l'embout</t>
  </si>
  <si>
    <t xml:space="preserve">Lisse, boucles ou volume.</t>
  </si>
  <si>
    <t xml:space="preserve">Coiffez mèche par mèche</t>
  </si>
  <si>
    <t xml:space="preserve">Finissez à l'air froid pour fixer.</t>
  </si>
  <si>
    <t xml:space="preserve">6. Variantes (chaque variante a son lien Amazon)</t>
  </si>
  <si>
    <t xml:space="preserve">Variante</t>
  </si>
  <si>
    <t xml:space="preserve">Prix indicatif</t>
  </si>
  <si>
    <t xml:space="preserve">Prix barré</t>
  </si>
  <si>
    <t xml:space="preserve">Lien produit Amazon</t>
  </si>
  <si>
    <t xml:space="preserve">Rose poudré</t>
  </si>
  <si>
    <t xml:space="preserve">brosse soufflante 5 en 1 rose</t>
  </si>
  <si>
    <t xml:space="preserve">Noir</t>
  </si>
  <si>
    <t xml:space="preserve">brosse soufflante 5 en 1 noir</t>
  </si>
  <si>
    <t xml:space="preserve">Bleu nuit</t>
  </si>
  <si>
    <t xml:space="preserve">brosse soufflante 5 en 1 bleu</t>
  </si>
  <si>
    <t xml:space="preserve">7. Caractéristiques et contenu de la boîte</t>
  </si>
  <si>
    <t xml:space="preserve">Puissance</t>
  </si>
  <si>
    <t xml:space="preserve">Environ 1000 W</t>
  </si>
  <si>
    <t xml:space="preserve">Réglages</t>
  </si>
  <si>
    <t xml:space="preserve">3 températures, 2 vitesses, air froid</t>
  </si>
  <si>
    <t xml:space="preserve">Câble</t>
  </si>
  <si>
    <t xml:space="preserve">Rotatif 360°, environ 2 m</t>
  </si>
  <si>
    <t xml:space="preserve">Embouts</t>
  </si>
  <si>
    <t xml:space="preserve">5 embouts interchangeables</t>
  </si>
  <si>
    <t xml:space="preserve">Selon le vendeur Amazon</t>
  </si>
  <si>
    <t xml:space="preserve">Dans la boîte (séparé par ;)</t>
  </si>
  <si>
    <t xml:space="preserve">1 poignée ; 5 embouts ; 1 trousse de rangement ; 1 notice en français</t>
  </si>
  <si>
    <t xml:space="preserve">8. Accessoires recommandés</t>
  </si>
  <si>
    <t xml:space="preserve">Accessoire</t>
  </si>
  <si>
    <t xml:space="preserve">Spray protecteur de chaleur</t>
  </si>
  <si>
    <t xml:space="preserve">spray protecteur chaleur cheveux</t>
  </si>
  <si>
    <t xml:space="preserve">Pinces crocodile, lot de 6</t>
  </si>
  <si>
    <t xml:space="preserve">pinces crocodile coiffure</t>
  </si>
  <si>
    <t xml:space="preserve">Support mural pour appareils</t>
  </si>
  <si>
    <t xml:space="preserve">support mural sèche cheveux</t>
  </si>
  <si>
    <t xml:space="preserve">9. Garantie et FAQ</t>
  </si>
  <si>
    <t xml:space="preserve">Garantie / retours</t>
  </si>
  <si>
    <t xml:space="preserve">Retours gratuits sous 30 jours selon les conditions Amazon. Achats Black Friday souvent retournables jusqu'en janvier.</t>
  </si>
  <si>
    <t xml:space="preserve">Convient-elle aux cheveux bouclés ou épais ?</t>
  </si>
  <si>
    <t xml:space="preserve">Oui, utilisez la température haute et travaillez par petites mèches.</t>
  </si>
  <si>
    <t xml:space="preserve">Abîme-t-elle moins les cheveux qu'un lisseur ?</t>
  </si>
  <si>
    <t xml:space="preserve">Elle coiffe à l'air chaud, sans plaque en contact direct. Utilisez un protecteur de chaleur.</t>
  </si>
  <si>
    <t xml:space="preserve">Combien de temps pour un brushing ?</t>
  </si>
  <si>
    <t xml:space="preserve">Environ 15 minutes sur cheveux mi-longs.</t>
  </si>
  <si>
    <t xml:space="preserve">Les embouts se changent-ils facilement ?</t>
  </si>
  <si>
    <t xml:space="preserve">Oui, ils s'enclenchent et se retirent d'un clic.</t>
  </si>
  <si>
    <t xml:space="preserve">Jusqu'à quand dure le prix Black Friday ?</t>
  </si>
  <si>
    <t xml:space="preserve">Jusqu'au dimanche 29 novembre, selon les offres Amazon.</t>
  </si>
  <si>
    <t xml:space="preserve">Texte à copier-coller dans ton agent de vibe coding, avec ce fichier joint. Remplace [ÉVÉNEMENT] par l'événement.</t>
  </si>
  <si>
    <t xml:space="preserve">PROMPT 1 — BOUTIQUE MULTI-PRODUITS</t>
  </si>
  <si>
    <t xml:space="preserve">Je te joins une base de données Excel de produits Amazon (France). Utilise UNIQUEMENT ces données : ne cherche pas d'autres produits ni d'autres images.</t>
  </si>
  <si>
    <t xml:space="preserve">Onglet : « [ÉVÉNEMENT] - Boutique ». En haut : les réglages du site (nom, titre du hero avec *italique*, sous-titre, message d'urgence, dates, descriptions des formules, invités et formule par défaut). Dessous : un produit par ligne, dans l'ordre d'affichage. Ignore les lignes où « Afficher sur le site ? » = Non.</t>
  </si>
  <si>
    <t xml:space="preserve">Pour chaque produit : nom, nom court, marque, catégorie (filtres), prix indicatif et prix barré (badge de réduction), note et nombre d'avis (étoiles), badge, « Pourquoi on l'a choisi » (texte de la carte), points forts séparés par ; (fiche produit), image principale et autres images (galerie). Le bouton « Voir sur Amazon » ouvre « Lien produit Amazon » dans un nouvel onglet.</t>
  </si>
  <si>
    <t xml:space="preserve">Calculateur de table : le visiteur choisit le nombre d'invités (4 à 12) et une formule. Un produit fait partie de sa « Formule minimale » et des formules supérieures (Essentielle ⊂ Complète ⊂ Prestige). Quantité = arrondi supérieur (invités ÷ « 1 lot pour … invités »), ou 1 si la case est vide. Le visiteur peut décocher ce qu'il possède déjà.</t>
  </si>
  <si>
    <t xml:space="preserve">Bouton « Tout ajouter à mon panier Amazon » : https://www.amazon.fr/gp/aws/cart/add.html?AssociateTag=[TAG]&amp;ASIN.1=…&amp;Quantity.1=…, avec l'ASIN de chaque produit coché et le tag de l'onglet « Mode d'emploi ».</t>
  </si>
  <si>
    <t xml:space="preserve">Aussi : produit « Mise en avant » en grande carte, objets « Position dans le hero » disposés comme une table dressée, guide « Étape du guide » + « Conseil de l'étape », compte à rebours vers la date limite, FAQ, rappel e-mail, barre d'achat collante sur mobile.</t>
  </si>
  <si>
    <t xml:space="preserve">PROMPT 2 — SITE D'UN SEUL PRODUIT</t>
  </si>
  <si>
    <t xml:space="preserve">Onglet : « [ÉVÉNEMENT] - Produit unique ». Construis une page de vente longue pour ce seul produit, avec UNIQUEMENT ces données et ces images : hero (promesse + image + prix + bouton), problème résolu, bénéfices, galerie, comment ça marche en 3 étapes, choix de la variante (chaque variante a son lien Amazon), caractéristiques et contenu de la boîte, accessoires, garantie, FAQ, rappel final avec compte à rebours. Bouton d'achat collant en bas sur mobile.</t>
  </si>
  <si>
    <t xml:space="preserve">POUR LES DEUX SITES</t>
  </si>
  <si>
    <t xml:space="preserve">Pied de page : « En tant que Partenaire Amazon, je réalise un bénéfice sur les achats remplissant les conditions requises. » Prix présentés comme indicatifs, avec la date du relevé. Liens Amazon avec rel="nofollow sponsored".</t>
  </si>
  <si>
    <t xml:space="preserve">Oui/Non</t>
  </si>
  <si>
    <t xml:space="preserve">Formule</t>
  </si>
  <si>
    <t xml:space="preserve">Best-seller</t>
  </si>
  <si>
    <t xml:space="preserve">En cours</t>
  </si>
  <si>
    <t xml:space="preserve">Édition limitée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</si>
</sst>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.00&quot; €&quot;"/>
    <numFmt numFmtId="167" formatCode="0%"/>
    <numFmt numFmtId="168" formatCode="0.0"/>
    <numFmt numFmtId="169" formatCode="#,##0.00&quot; €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7D6"/>
        <bgColor rgb="FFFFFBF0"/>
      </patternFill>
    </fill>
    <fill>
      <patternFill patternType="solid">
        <fgColor rgb="FF1F2A44"/>
        <bgColor rgb="FF3A2A20"/>
      </patternFill>
    </fill>
    <fill>
      <patternFill patternType="solid">
        <fgColor rgb="FFFFFBF0"/>
        <bgColor rgb="FFFFFFFF"/>
      </patternFill>
    </fill>
    <fill>
      <patternFill patternType="solid">
        <fgColor rgb="FFF2B632"/>
        <bgColor rgb="FFFF9900"/>
      </patternFill>
    </fill>
    <fill>
      <patternFill patternType="solid">
        <fgColor rgb="FFE8EEF9"/>
        <bgColor rgb="FFE6E6E6"/>
      </patternFill>
    </fill>
    <fill>
      <patternFill patternType="solid">
        <fgColor rgb="FFFFE08A"/>
        <bgColor rgb="FFF8D7DA"/>
      </patternFill>
    </fill>
    <fill>
      <patternFill patternType="solid">
        <fgColor rgb="FF3A2A2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6E6E6"/>
          <bgColor rgb="FF000000"/>
        </patternFill>
      </fill>
    </dxf>
    <dxf>
      <fill>
        <patternFill patternType="solid">
          <fgColor rgb="FFE8EE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BF0"/>
          <bgColor rgb="FF000000"/>
        </patternFill>
      </fill>
    </dxf>
    <dxf>
      <fill>
        <patternFill patternType="solid">
          <fgColor rgb="FFF2B632"/>
          <bgColor rgb="FF000000"/>
        </patternFill>
      </fill>
    </dxf>
    <dxf>
      <fill>
        <patternFill patternType="solid">
          <fgColor rgb="FFFFE08A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D5F0DD"/>
          <bgColor rgb="FF000000"/>
        </patternFill>
      </fill>
    </dxf>
    <dxf>
      <fill>
        <patternFill>
          <bgColor rgb="FFE6E6E6"/>
        </patternFill>
      </fill>
    </dxf>
    <dxf>
      <fill>
        <patternFill>
          <bgColor rgb="FFD5F0DD"/>
        </patternFill>
      </fill>
    </dxf>
    <dxf>
      <fill>
        <patternFill>
          <bgColor rgb="FFF8D7DA"/>
        </patternFill>
      </fill>
    </dxf>
    <dxf>
      <fill>
        <patternFill patternType="solid">
          <fgColor rgb="FFFFF7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8D7DA"/>
      <rgbColor rgb="FF808080"/>
      <rgbColor rgb="FF9999FF"/>
      <rgbColor rgb="FF993366"/>
      <rgbColor rgb="FFFFF7D6"/>
      <rgbColor rgb="FFE8EEF9"/>
      <rgbColor rgb="FF660066"/>
      <rgbColor rgb="FFFF8080"/>
      <rgbColor rgb="FF0563C1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D5F0DD"/>
      <rgbColor rgb="FFFFFBF0"/>
      <rgbColor rgb="FF99CCFF"/>
      <rgbColor rgb="FFFF99CC"/>
      <rgbColor rgb="FFCC99FF"/>
      <rgbColor rgb="FFFFE08A"/>
      <rgbColor rgb="FF3366FF"/>
      <rgbColor rgb="FF33CCCC"/>
      <rgbColor rgb="FF99CC00"/>
      <rgbColor rgb="FFF2B632"/>
      <rgbColor rgb="FFFF9900"/>
      <rgbColor rgb="FFFF6600"/>
      <rgbColor rgb="FF555555"/>
      <rgbColor rgb="FF969696"/>
      <rgbColor rgb="FF1F2A44"/>
      <rgbColor rgb="FF339966"/>
      <rgbColor rgb="FF003300"/>
      <rgbColor rgb="FF333300"/>
      <rgbColor rgb="FF993300"/>
      <rgbColor rgb="FF993366"/>
      <rgbColor rgb="FF333399"/>
      <rgbColor rgb="FF3A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90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s">
        <v>2</v>
      </c>
      <c r="C3" s="5" t="s">
        <v>3</v>
      </c>
    </row>
    <row r="4" customFormat="false" ht="15" hidden="false" customHeight="true" outlineLevel="0" collapsed="false">
      <c r="A4" s="6"/>
    </row>
    <row r="5" customFormat="false" ht="15" hidden="false" customHeight="true" outlineLevel="0" collapsed="false">
      <c r="A5" s="7" t="s">
        <v>4</v>
      </c>
    </row>
    <row r="6" customFormat="false" ht="15" hidden="false" customHeight="true" outlineLevel="0" collapsed="false">
      <c r="A6" s="8" t="s">
        <v>5</v>
      </c>
    </row>
    <row r="7" customFormat="false" ht="15" hidden="false" customHeight="true" outlineLevel="0" collapsed="false">
      <c r="A7" s="8" t="s">
        <v>6</v>
      </c>
    </row>
    <row r="8" customFormat="false" ht="15" hidden="false" customHeight="true" outlineLevel="0" collapsed="false">
      <c r="A8" s="8"/>
    </row>
    <row r="9" customFormat="false" ht="15" hidden="false" customHeight="true" outlineLevel="0" collapsed="false">
      <c r="A9" s="7" t="s">
        <v>7</v>
      </c>
    </row>
    <row r="10" customFormat="false" ht="15" hidden="false" customHeight="true" outlineLevel="0" collapsed="false">
      <c r="A10" s="8" t="s">
        <v>8</v>
      </c>
    </row>
    <row r="11" customFormat="false" ht="15" hidden="false" customHeight="true" outlineLevel="0" collapsed="false">
      <c r="A11" s="8" t="s">
        <v>9</v>
      </c>
    </row>
    <row r="12" customFormat="false" ht="15" hidden="false" customHeight="true" outlineLevel="0" collapsed="false">
      <c r="A12" s="8" t="s">
        <v>10</v>
      </c>
    </row>
    <row r="13" customFormat="false" ht="15" hidden="false" customHeight="true" outlineLevel="0" collapsed="false">
      <c r="A13" s="8" t="s">
        <v>11</v>
      </c>
    </row>
    <row r="14" customFormat="false" ht="15" hidden="false" customHeight="true" outlineLevel="0" collapsed="false">
      <c r="A14" s="8"/>
    </row>
    <row r="15" customFormat="false" ht="15" hidden="false" customHeight="true" outlineLevel="0" collapsed="false">
      <c r="A15" s="7" t="s">
        <v>12</v>
      </c>
    </row>
    <row r="16" customFormat="false" ht="15" hidden="false" customHeight="true" outlineLevel="0" collapsed="false">
      <c r="A16" s="8" t="s">
        <v>13</v>
      </c>
    </row>
    <row r="17" customFormat="false" ht="15" hidden="false" customHeight="true" outlineLevel="0" collapsed="false">
      <c r="A17" s="8" t="s">
        <v>14</v>
      </c>
    </row>
    <row r="18" customFormat="false" ht="15" hidden="false" customHeight="true" outlineLevel="0" collapsed="false">
      <c r="A18" s="8" t="s">
        <v>15</v>
      </c>
    </row>
    <row r="19" customFormat="false" ht="15" hidden="false" customHeight="true" outlineLevel="0" collapsed="false">
      <c r="A19" s="8" t="s">
        <v>16</v>
      </c>
    </row>
    <row r="20" customFormat="false" ht="15" hidden="false" customHeight="true" outlineLevel="0" collapsed="false">
      <c r="A20" s="8" t="s">
        <v>17</v>
      </c>
    </row>
    <row r="21" customFormat="false" ht="15" hidden="false" customHeight="true" outlineLevel="0" collapsed="false">
      <c r="A21" s="8"/>
    </row>
    <row r="22" customFormat="false" ht="15" hidden="false" customHeight="true" outlineLevel="0" collapsed="false">
      <c r="A22" s="7" t="s">
        <v>18</v>
      </c>
    </row>
    <row r="23" customFormat="false" ht="15" hidden="false" customHeight="true" outlineLevel="0" collapsed="false">
      <c r="A23" s="8" t="s">
        <v>19</v>
      </c>
    </row>
    <row r="24" customFormat="false" ht="15" hidden="false" customHeight="true" outlineLevel="0" collapsed="false">
      <c r="A24" s="8"/>
    </row>
    <row r="25" customFormat="false" ht="15" hidden="false" customHeight="true" outlineLevel="0" collapsed="false">
      <c r="A25" s="7" t="s">
        <v>20</v>
      </c>
    </row>
    <row r="26" customFormat="false" ht="15" hidden="false" customHeight="true" outlineLevel="0" collapsed="false">
      <c r="A26" s="8" t="s">
        <v>21</v>
      </c>
    </row>
    <row r="27" customFormat="false" ht="15" hidden="false" customHeight="true" outlineLevel="0" collapsed="false">
      <c r="A27" s="8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2" topLeftCell="E23" activePane="bottomRight" state="frozen"/>
      <selection pane="topLeft" activeCell="A1" activeCellId="0" sqref="A1"/>
      <selection pane="topRight" activeCell="E1" activeCellId="0" sqref="E1"/>
      <selection pane="bottomLeft" activeCell="A23" activeCellId="0" sqref="A2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32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9" min="8" style="1" width="11"/>
    <col collapsed="false" customWidth="true" hidden="false" outlineLevel="0" max="12" min="10" style="1" width="9"/>
    <col collapsed="false" customWidth="true" hidden="false" outlineLevel="0" max="14" min="13" style="1" width="13"/>
    <col collapsed="false" customWidth="true" hidden="false" outlineLevel="0" max="15" min="15" style="1" width="46"/>
    <col collapsed="false" customWidth="true" hidden="false" outlineLevel="0" max="16" min="16" style="1" width="42"/>
    <col collapsed="false" customWidth="true" hidden="false" outlineLevel="0" max="18" min="17" style="1" width="32"/>
    <col collapsed="false" customWidth="true" hidden="false" outlineLevel="0" max="19" min="19" style="1" width="12"/>
    <col collapsed="false" customWidth="true" hidden="false" outlineLevel="0" max="20" min="20" style="1" width="8"/>
    <col collapsed="false" customWidth="true" hidden="false" outlineLevel="0" max="21" min="21" style="1" width="14"/>
    <col collapsed="false" customWidth="true" hidden="false" outlineLevel="0" max="22" min="22" style="1" width="11"/>
    <col collapsed="false" customWidth="true" hidden="false" outlineLevel="0" max="24" min="23" style="1" width="9"/>
    <col collapsed="false" customWidth="true" hidden="false" outlineLevel="0" max="25" min="25" style="1" width="20"/>
    <col collapsed="false" customWidth="true" hidden="false" outlineLevel="0" max="26" min="26" style="1" width="40"/>
    <col collapsed="false" customWidth="true" hidden="false" outlineLevel="0" max="27" min="27" style="1" width="24"/>
    <col collapsed="false" customWidth="true" hidden="false" outlineLevel="0" max="28" min="28" style="1" width="17"/>
    <col collapsed="false" customWidth="true" hidden="false" outlineLevel="0" max="29" min="29" style="1" width="16"/>
    <col collapsed="false" customWidth="true" hidden="false" outlineLevel="0" max="30" min="30" style="1" width="11"/>
    <col collapsed="false" customWidth="true" hidden="false" outlineLevel="0" max="31" min="31" style="1" width="36"/>
    <col collapsed="false" customWidth="true" hidden="true" outlineLevel="0" max="40" min="40" style="1" width="13"/>
  </cols>
  <sheetData>
    <row r="1" customFormat="false" ht="18" hidden="false" customHeight="true" outlineLevel="0" collapsed="false">
      <c r="A1" s="9" t="s">
        <v>23</v>
      </c>
    </row>
    <row r="2" customFormat="false" ht="15" hidden="false" customHeight="true" outlineLevel="0" collapsed="false">
      <c r="A2" s="10" t="s">
        <v>24</v>
      </c>
      <c r="B2" s="10"/>
      <c r="C2" s="10"/>
      <c r="D2" s="10"/>
      <c r="E2" s="10"/>
      <c r="F2" s="10"/>
      <c r="G2" s="10"/>
      <c r="H2" s="10"/>
      <c r="I2" s="10"/>
      <c r="J2" s="10"/>
    </row>
    <row r="3" customFormat="false" ht="15" hidden="false" customHeight="true" outlineLevel="0" collapsed="false">
      <c r="A3" s="11" t="s">
        <v>25</v>
      </c>
      <c r="B3" s="12" t="s">
        <v>26</v>
      </c>
      <c r="C3" s="12"/>
      <c r="D3" s="12"/>
      <c r="E3" s="12"/>
      <c r="F3" s="12"/>
      <c r="G3" s="12"/>
      <c r="H3" s="12"/>
      <c r="I3" s="12"/>
      <c r="J3" s="12"/>
    </row>
    <row r="4" customFormat="false" ht="15" hidden="false" customHeight="true" outlineLevel="0" collapsed="false">
      <c r="A4" s="13" t="s">
        <v>27</v>
      </c>
      <c r="B4" s="14" t="s">
        <v>28</v>
      </c>
      <c r="C4" s="14"/>
      <c r="D4" s="14"/>
      <c r="E4" s="14"/>
      <c r="F4" s="14"/>
      <c r="G4" s="14"/>
      <c r="H4" s="14"/>
      <c r="I4" s="14"/>
      <c r="J4" s="14"/>
      <c r="AN4" s="1" t="s">
        <v>29</v>
      </c>
    </row>
    <row r="5" customFormat="false" ht="15" hidden="false" customHeight="true" outlineLevel="0" collapsed="false">
      <c r="A5" s="13" t="s">
        <v>30</v>
      </c>
      <c r="B5" s="14" t="s">
        <v>31</v>
      </c>
      <c r="C5" s="14"/>
      <c r="D5" s="14"/>
      <c r="E5" s="14"/>
      <c r="F5" s="14"/>
      <c r="G5" s="14"/>
      <c r="H5" s="14"/>
      <c r="I5" s="14"/>
      <c r="J5" s="14"/>
      <c r="AN5" s="1" t="s">
        <v>32</v>
      </c>
    </row>
    <row r="6" customFormat="false" ht="15" hidden="false" customHeight="true" outlineLevel="0" collapsed="false">
      <c r="A6" s="13" t="s">
        <v>33</v>
      </c>
      <c r="B6" s="14" t="s">
        <v>34</v>
      </c>
      <c r="C6" s="14"/>
      <c r="D6" s="14"/>
      <c r="E6" s="14"/>
      <c r="F6" s="14"/>
      <c r="G6" s="14"/>
      <c r="H6" s="14"/>
      <c r="I6" s="14"/>
      <c r="J6" s="14"/>
      <c r="AN6" s="1" t="s">
        <v>35</v>
      </c>
    </row>
    <row r="7" customFormat="false" ht="26.25" hidden="false" customHeight="true" outlineLevel="0" collapsed="false">
      <c r="A7" s="13" t="s">
        <v>36</v>
      </c>
      <c r="B7" s="14" t="s">
        <v>37</v>
      </c>
      <c r="C7" s="14"/>
      <c r="D7" s="14"/>
      <c r="E7" s="14"/>
      <c r="F7" s="14"/>
      <c r="G7" s="14"/>
      <c r="H7" s="14"/>
      <c r="I7" s="14"/>
      <c r="J7" s="14"/>
      <c r="AN7" s="1" t="s">
        <v>38</v>
      </c>
    </row>
    <row r="8" customFormat="false" ht="26.25" hidden="false" customHeight="true" outlineLevel="0" collapsed="false">
      <c r="A8" s="13" t="s">
        <v>39</v>
      </c>
      <c r="B8" s="14" t="s">
        <v>40</v>
      </c>
      <c r="C8" s="14"/>
      <c r="D8" s="14"/>
      <c r="E8" s="14"/>
      <c r="F8" s="14"/>
      <c r="G8" s="14"/>
      <c r="H8" s="14"/>
      <c r="I8" s="14"/>
      <c r="J8" s="14"/>
      <c r="AN8" s="1" t="s">
        <v>41</v>
      </c>
    </row>
    <row r="9" customFormat="false" ht="15" hidden="false" customHeight="true" outlineLevel="0" collapsed="false">
      <c r="A9" s="13" t="s">
        <v>42</v>
      </c>
      <c r="B9" s="14" t="s">
        <v>43</v>
      </c>
      <c r="C9" s="14"/>
      <c r="D9" s="14"/>
      <c r="E9" s="14"/>
      <c r="F9" s="14"/>
      <c r="G9" s="14"/>
      <c r="H9" s="14"/>
      <c r="I9" s="14"/>
      <c r="J9" s="14"/>
      <c r="AN9" s="1" t="s">
        <v>44</v>
      </c>
    </row>
    <row r="10" customFormat="false" ht="43.5" hidden="false" customHeight="true" outlineLevel="0" collapsed="false">
      <c r="A10" s="13" t="s">
        <v>45</v>
      </c>
      <c r="B10" s="14" t="s">
        <v>46</v>
      </c>
      <c r="C10" s="14"/>
      <c r="D10" s="14"/>
      <c r="E10" s="14"/>
      <c r="F10" s="14"/>
      <c r="G10" s="14"/>
      <c r="H10" s="14"/>
      <c r="I10" s="14"/>
      <c r="J10" s="14"/>
      <c r="AN10" s="1" t="s">
        <v>47</v>
      </c>
    </row>
    <row r="11" customFormat="false" ht="15" hidden="false" customHeight="true" outlineLevel="0" collapsed="false">
      <c r="A11" s="13" t="s">
        <v>48</v>
      </c>
      <c r="B11" s="14" t="s">
        <v>49</v>
      </c>
      <c r="C11" s="14"/>
      <c r="D11" s="14"/>
      <c r="E11" s="14"/>
      <c r="F11" s="14"/>
      <c r="G11" s="14"/>
      <c r="H11" s="14"/>
      <c r="I11" s="14"/>
      <c r="J11" s="14"/>
      <c r="AN11" s="1" t="s">
        <v>50</v>
      </c>
    </row>
    <row r="12" customFormat="false" ht="43.5" hidden="false" customHeight="true" outlineLevel="0" collapsed="false">
      <c r="A12" s="13" t="s">
        <v>51</v>
      </c>
      <c r="B12" s="14" t="s">
        <v>52</v>
      </c>
      <c r="C12" s="14"/>
      <c r="D12" s="14"/>
      <c r="E12" s="14"/>
      <c r="F12" s="14"/>
      <c r="G12" s="14"/>
      <c r="H12" s="14"/>
      <c r="I12" s="14"/>
      <c r="J12" s="14"/>
      <c r="AN12" s="1" t="s">
        <v>53</v>
      </c>
    </row>
    <row r="13" customFormat="false" ht="15" hidden="false" customHeight="true" outlineLevel="0" collapsed="false">
      <c r="A13" s="13" t="s">
        <v>54</v>
      </c>
      <c r="B13" s="14" t="s">
        <v>55</v>
      </c>
      <c r="C13" s="14"/>
      <c r="D13" s="14"/>
      <c r="E13" s="14"/>
      <c r="F13" s="14"/>
      <c r="G13" s="14"/>
      <c r="H13" s="14"/>
      <c r="I13" s="14"/>
      <c r="J13" s="14"/>
      <c r="AN13" s="1" t="s">
        <v>56</v>
      </c>
    </row>
    <row r="14" customFormat="false" ht="15" hidden="false" customHeight="true" outlineLevel="0" collapsed="false">
      <c r="A14" s="13" t="s">
        <v>57</v>
      </c>
      <c r="B14" s="14" t="s">
        <v>58</v>
      </c>
      <c r="C14" s="14"/>
      <c r="D14" s="14"/>
      <c r="E14" s="14"/>
      <c r="F14" s="14"/>
      <c r="G14" s="14"/>
      <c r="H14" s="14"/>
      <c r="I14" s="14"/>
      <c r="J14" s="14"/>
      <c r="AN14" s="1" t="s">
        <v>59</v>
      </c>
    </row>
    <row r="15" customFormat="false" ht="15" hidden="false" customHeight="true" outlineLevel="0" collapsed="false">
      <c r="A15" s="13" t="s">
        <v>60</v>
      </c>
      <c r="B15" s="14" t="s">
        <v>61</v>
      </c>
      <c r="C15" s="14"/>
      <c r="D15" s="14"/>
      <c r="E15" s="14"/>
      <c r="F15" s="14"/>
      <c r="G15" s="14"/>
      <c r="H15" s="14"/>
      <c r="I15" s="14"/>
      <c r="J15" s="14"/>
      <c r="AN15" s="1" t="s">
        <v>62</v>
      </c>
    </row>
    <row r="16" customFormat="false" ht="15" hidden="false" customHeight="true" outlineLevel="0" collapsed="false">
      <c r="A16" s="13" t="s">
        <v>63</v>
      </c>
      <c r="B16" s="14" t="n">
        <v>6</v>
      </c>
      <c r="C16" s="14"/>
      <c r="D16" s="14"/>
      <c r="E16" s="14"/>
      <c r="F16" s="14"/>
      <c r="G16" s="14"/>
      <c r="H16" s="14"/>
      <c r="I16" s="14"/>
      <c r="J16" s="14"/>
      <c r="AN16" s="1" t="s">
        <v>64</v>
      </c>
    </row>
    <row r="17" customFormat="false" ht="15" hidden="false" customHeight="true" outlineLevel="0" collapsed="false">
      <c r="A17" s="13" t="s">
        <v>65</v>
      </c>
      <c r="B17" s="14" t="s">
        <v>66</v>
      </c>
      <c r="C17" s="14"/>
      <c r="D17" s="14"/>
      <c r="E17" s="14"/>
      <c r="F17" s="14"/>
      <c r="G17" s="14"/>
      <c r="H17" s="14"/>
      <c r="I17" s="14"/>
      <c r="J17" s="14"/>
      <c r="AN17" s="1" t="s">
        <v>67</v>
      </c>
    </row>
    <row r="18" customFormat="false" ht="15" hidden="false" customHeight="true" outlineLevel="0" collapsed="false">
      <c r="A18" s="13" t="s">
        <v>68</v>
      </c>
      <c r="B18" s="14" t="s">
        <v>69</v>
      </c>
      <c r="C18" s="14"/>
      <c r="D18" s="14"/>
      <c r="E18" s="14"/>
      <c r="F18" s="14"/>
      <c r="G18" s="14"/>
      <c r="H18" s="14"/>
      <c r="I18" s="14"/>
      <c r="J18" s="14"/>
      <c r="AN18" s="1" t="s">
        <v>70</v>
      </c>
    </row>
    <row r="19" customFormat="false" ht="15" hidden="false" customHeight="true" outlineLevel="0" collapsed="false">
      <c r="A19" s="13" t="s">
        <v>71</v>
      </c>
      <c r="B19" s="14" t="s">
        <v>72</v>
      </c>
      <c r="C19" s="14"/>
      <c r="D19" s="14"/>
      <c r="E19" s="14"/>
      <c r="F19" s="14"/>
      <c r="G19" s="14"/>
      <c r="H19" s="14"/>
      <c r="I19" s="14"/>
      <c r="J19" s="14"/>
      <c r="AN19" s="1" t="s">
        <v>73</v>
      </c>
    </row>
    <row r="21" customFormat="false" ht="15" hidden="true" customHeight="true" outlineLevel="0" collapsed="false">
      <c r="A21" s="1" t="s">
        <v>74</v>
      </c>
      <c r="B21" s="1" t="s">
        <v>75</v>
      </c>
      <c r="C21" s="1" t="s">
        <v>76</v>
      </c>
      <c r="D21" s="1" t="s">
        <v>77</v>
      </c>
      <c r="E21" s="1" t="s">
        <v>78</v>
      </c>
      <c r="F21" s="1" t="s">
        <v>29</v>
      </c>
      <c r="G21" s="1" t="s">
        <v>79</v>
      </c>
      <c r="H21" s="1" t="s">
        <v>80</v>
      </c>
      <c r="I21" s="1" t="s">
        <v>81</v>
      </c>
      <c r="J21" s="1" t="s">
        <v>82</v>
      </c>
      <c r="K21" s="1" t="s">
        <v>83</v>
      </c>
      <c r="L21" s="1" t="s">
        <v>84</v>
      </c>
      <c r="M21" s="1" t="s">
        <v>85</v>
      </c>
      <c r="N21" s="1" t="s">
        <v>86</v>
      </c>
      <c r="O21" s="1" t="s">
        <v>87</v>
      </c>
      <c r="P21" s="1" t="s">
        <v>88</v>
      </c>
      <c r="Q21" s="1" t="s">
        <v>89</v>
      </c>
      <c r="R21" s="1" t="s">
        <v>90</v>
      </c>
      <c r="S21" s="1" t="s">
        <v>67</v>
      </c>
      <c r="T21" s="1" t="s">
        <v>91</v>
      </c>
      <c r="U21" s="1" t="s">
        <v>92</v>
      </c>
      <c r="V21" s="1" t="s">
        <v>93</v>
      </c>
      <c r="W21" s="1" t="s">
        <v>94</v>
      </c>
      <c r="X21" s="1" t="s">
        <v>95</v>
      </c>
      <c r="Y21" s="1" t="s">
        <v>96</v>
      </c>
      <c r="Z21" s="1" t="s">
        <v>97</v>
      </c>
      <c r="AA21" s="1" t="s">
        <v>98</v>
      </c>
      <c r="AB21" s="1" t="s">
        <v>99</v>
      </c>
      <c r="AC21" s="1" t="s">
        <v>100</v>
      </c>
      <c r="AD21" s="1" t="s">
        <v>101</v>
      </c>
      <c r="AE21" s="1" t="s">
        <v>102</v>
      </c>
    </row>
    <row r="22" customFormat="false" ht="48" hidden="false" customHeight="true" outlineLevel="0" collapsed="false">
      <c r="A22" s="15" t="s">
        <v>103</v>
      </c>
      <c r="B22" s="15" t="s">
        <v>104</v>
      </c>
      <c r="C22" s="16" t="s">
        <v>105</v>
      </c>
      <c r="D22" s="15" t="s">
        <v>106</v>
      </c>
      <c r="E22" s="15" t="s">
        <v>107</v>
      </c>
      <c r="F22" s="15" t="s">
        <v>108</v>
      </c>
      <c r="G22" s="15" t="s">
        <v>109</v>
      </c>
      <c r="H22" s="15" t="s">
        <v>110</v>
      </c>
      <c r="I22" s="15" t="s">
        <v>111</v>
      </c>
      <c r="J22" s="15" t="s">
        <v>112</v>
      </c>
      <c r="K22" s="15" t="s">
        <v>113</v>
      </c>
      <c r="L22" s="15" t="s">
        <v>114</v>
      </c>
      <c r="M22" s="15" t="s">
        <v>115</v>
      </c>
      <c r="N22" s="15" t="s">
        <v>116</v>
      </c>
      <c r="O22" s="15" t="s">
        <v>117</v>
      </c>
      <c r="P22" s="15" t="s">
        <v>118</v>
      </c>
      <c r="Q22" s="15" t="s">
        <v>119</v>
      </c>
      <c r="R22" s="15" t="s">
        <v>120</v>
      </c>
      <c r="S22" s="15" t="s">
        <v>121</v>
      </c>
      <c r="T22" s="15" t="s">
        <v>122</v>
      </c>
      <c r="U22" s="15" t="s">
        <v>123</v>
      </c>
      <c r="V22" s="15" t="s">
        <v>124</v>
      </c>
      <c r="W22" s="15" t="s">
        <v>125</v>
      </c>
      <c r="X22" s="15" t="s">
        <v>126</v>
      </c>
      <c r="Y22" s="15" t="s">
        <v>127</v>
      </c>
      <c r="Z22" s="15" t="s">
        <v>128</v>
      </c>
      <c r="AA22" s="15" t="s">
        <v>129</v>
      </c>
      <c r="AB22" s="15" t="s">
        <v>130</v>
      </c>
      <c r="AC22" s="15" t="s">
        <v>131</v>
      </c>
      <c r="AD22" s="15" t="s">
        <v>132</v>
      </c>
      <c r="AE22" s="15" t="s">
        <v>133</v>
      </c>
    </row>
    <row r="23" customFormat="false" ht="61.5" hidden="false" customHeight="true" outlineLevel="0" collapsed="false">
      <c r="A23" s="17" t="n">
        <f aca="false">ROW()-22</f>
        <v>1</v>
      </c>
      <c r="B23" s="14" t="s">
        <v>134</v>
      </c>
      <c r="C23" s="18" t="s">
        <v>135</v>
      </c>
      <c r="D23" s="14" t="s">
        <v>136</v>
      </c>
      <c r="E23" s="14" t="s">
        <v>137</v>
      </c>
      <c r="F23" s="14" t="s">
        <v>138</v>
      </c>
      <c r="G23" s="14" t="s">
        <v>139</v>
      </c>
      <c r="H23" s="19" t="n">
        <v>30.25</v>
      </c>
      <c r="I23" s="19" t="n">
        <v>37.66</v>
      </c>
      <c r="J23" s="20" t="n">
        <f aca="false">IF(AND(ISNUMBER(H23),ISNUMBER(I23),I23&gt;H23),1-H23/I23,"")</f>
        <v>0.19676048858205</v>
      </c>
      <c r="K23" s="21" t="n">
        <v>4.5</v>
      </c>
      <c r="L23" s="14" t="n">
        <v>182</v>
      </c>
      <c r="M23" s="14" t="s">
        <v>140</v>
      </c>
      <c r="N23" s="14"/>
      <c r="O23" s="14" t="s">
        <v>141</v>
      </c>
      <c r="P23" s="14" t="s">
        <v>142</v>
      </c>
      <c r="Q23" s="14" t="s">
        <v>143</v>
      </c>
      <c r="R23" s="14" t="s">
        <v>144</v>
      </c>
      <c r="S23" s="14" t="s">
        <v>145</v>
      </c>
      <c r="T23" s="14" t="n">
        <v>6</v>
      </c>
      <c r="U23" s="14" t="s">
        <v>146</v>
      </c>
      <c r="V23" s="14" t="n">
        <v>6</v>
      </c>
      <c r="W23" s="14" t="s">
        <v>134</v>
      </c>
      <c r="X23" s="14" t="n">
        <v>1</v>
      </c>
      <c r="Y23" s="14" t="s">
        <v>147</v>
      </c>
      <c r="Z23" s="14" t="s">
        <v>148</v>
      </c>
      <c r="AA23" s="14" t="s">
        <v>149</v>
      </c>
      <c r="AB23" s="22" t="str">
        <f aca="false">IF(AA23="","",HYPERLINK("https://www.amazon.fr/s?k="&amp;SUBSTITUTE(TRIM(AA23)," ","+")&amp;IF('Mode d''emploi'!$B$3&lt;&gt;"","&amp;tag="&amp;'Mode d''emploi'!$B$3,""),"Chercher sur Amazon"))</f>
        <v>Chercher sur Amazon</v>
      </c>
      <c r="AC23" s="22" t="str">
        <f aca="false">IF(C23&lt;&gt;"",HYPERLINK(C23,"Lien produit"),IF(AA23="","",HYPERLINK("https://www.amazon.fr/s?k="&amp;SUBSTITUTE(TRIM(AA23)," ","+")&amp;IF('Mode d''emploi'!$B$3&lt;&gt;"","&amp;tag="&amp;'Mode d''emploi'!$B$3,""),"Recherche + tag")))</f>
        <v>Lien produit</v>
      </c>
      <c r="AD23" s="14" t="s">
        <v>150</v>
      </c>
      <c r="AE23" s="14" t="s">
        <v>151</v>
      </c>
    </row>
    <row r="24" customFormat="false" ht="61.5" hidden="false" customHeight="true" outlineLevel="0" collapsed="false">
      <c r="A24" s="17" t="n">
        <f aca="false">ROW()-22</f>
        <v>2</v>
      </c>
      <c r="B24" s="14" t="s">
        <v>134</v>
      </c>
      <c r="C24" s="18" t="s">
        <v>152</v>
      </c>
      <c r="D24" s="14" t="s">
        <v>153</v>
      </c>
      <c r="E24" s="14" t="s">
        <v>154</v>
      </c>
      <c r="F24" s="14" t="s">
        <v>155</v>
      </c>
      <c r="G24" s="14" t="s">
        <v>156</v>
      </c>
      <c r="H24" s="19" t="n">
        <v>12.99</v>
      </c>
      <c r="I24" s="19"/>
      <c r="J24" s="20" t="str">
        <f aca="false">IF(AND(ISNUMBER(H24),ISNUMBER(I24),I24&gt;H24),1-H24/I24,"")</f>
        <v/>
      </c>
      <c r="K24" s="21" t="n">
        <v>4.6</v>
      </c>
      <c r="L24" s="14" t="n">
        <v>166</v>
      </c>
      <c r="M24" s="14" t="s">
        <v>157</v>
      </c>
      <c r="N24" s="14" t="s">
        <v>158</v>
      </c>
      <c r="O24" s="14" t="s">
        <v>159</v>
      </c>
      <c r="P24" s="14" t="s">
        <v>160</v>
      </c>
      <c r="Q24" s="14" t="s">
        <v>161</v>
      </c>
      <c r="R24" s="14" t="s">
        <v>162</v>
      </c>
      <c r="S24" s="14" t="s">
        <v>145</v>
      </c>
      <c r="T24" s="14" t="n">
        <v>6</v>
      </c>
      <c r="U24" s="14" t="s">
        <v>163</v>
      </c>
      <c r="V24" s="14" t="n">
        <v>6</v>
      </c>
      <c r="W24" s="14" t="s">
        <v>164</v>
      </c>
      <c r="X24" s="14" t="n">
        <v>2</v>
      </c>
      <c r="Y24" s="14" t="s">
        <v>165</v>
      </c>
      <c r="Z24" s="14" t="s">
        <v>166</v>
      </c>
      <c r="AA24" s="14" t="s">
        <v>167</v>
      </c>
      <c r="AB24" s="22" t="str">
        <f aca="false">IF(AA24="","",HYPERLINK("https://www.amazon.fr/s?k="&amp;SUBSTITUTE(TRIM(AA24)," ","+")&amp;IF('Mode d''emploi'!$B$3&lt;&gt;"","&amp;tag="&amp;'Mode d''emploi'!$B$3,""),"Chercher sur Amazon"))</f>
        <v>Chercher sur Amazon</v>
      </c>
      <c r="AC24" s="22" t="str">
        <f aca="false">IF(C24&lt;&gt;"",HYPERLINK(C24,"Lien produit"),IF(AA24="","",HYPERLINK("https://www.amazon.fr/s?k="&amp;SUBSTITUTE(TRIM(AA24)," ","+")&amp;IF('Mode d''emploi'!$B$3&lt;&gt;"","&amp;tag="&amp;'Mode d''emploi'!$B$3,""),"Recherche + tag")))</f>
        <v>Lien produit</v>
      </c>
      <c r="AD24" s="14" t="s">
        <v>150</v>
      </c>
      <c r="AE24" s="14"/>
    </row>
    <row r="25" customFormat="false" ht="61.5" hidden="false" customHeight="true" outlineLevel="0" collapsed="false">
      <c r="A25" s="17" t="n">
        <f aca="false">ROW()-22</f>
        <v>3</v>
      </c>
      <c r="B25" s="14" t="s">
        <v>134</v>
      </c>
      <c r="C25" s="18" t="s">
        <v>168</v>
      </c>
      <c r="D25" s="14" t="s">
        <v>169</v>
      </c>
      <c r="E25" s="14" t="s">
        <v>170</v>
      </c>
      <c r="F25" s="14" t="s">
        <v>171</v>
      </c>
      <c r="G25" s="14" t="s">
        <v>172</v>
      </c>
      <c r="H25" s="19" t="n">
        <v>16.99</v>
      </c>
      <c r="I25" s="19"/>
      <c r="J25" s="20" t="str">
        <f aca="false">IF(AND(ISNUMBER(H25),ISNUMBER(I25),I25&gt;H25),1-H25/I25,"")</f>
        <v/>
      </c>
      <c r="K25" s="21" t="n">
        <v>4.6</v>
      </c>
      <c r="L25" s="14" t="n">
        <v>196</v>
      </c>
      <c r="M25" s="14" t="s">
        <v>173</v>
      </c>
      <c r="N25" s="14"/>
      <c r="O25" s="14" t="s">
        <v>174</v>
      </c>
      <c r="P25" s="14" t="s">
        <v>175</v>
      </c>
      <c r="Q25" s="14" t="s">
        <v>176</v>
      </c>
      <c r="R25" s="14" t="s">
        <v>177</v>
      </c>
      <c r="S25" s="14" t="s">
        <v>145</v>
      </c>
      <c r="T25" s="14" t="n">
        <v>4</v>
      </c>
      <c r="U25" s="14" t="s">
        <v>178</v>
      </c>
      <c r="V25" s="14" t="n">
        <v>8</v>
      </c>
      <c r="W25" s="14" t="s">
        <v>164</v>
      </c>
      <c r="X25" s="14" t="n">
        <v>3</v>
      </c>
      <c r="Y25" s="14" t="s">
        <v>179</v>
      </c>
      <c r="Z25" s="14" t="s">
        <v>180</v>
      </c>
      <c r="AA25" s="14" t="s">
        <v>181</v>
      </c>
      <c r="AB25" s="22" t="str">
        <f aca="false">IF(AA25="","",HYPERLINK("https://www.amazon.fr/s?k="&amp;SUBSTITUTE(TRIM(AA25)," ","+")&amp;IF('Mode d''emploi'!$B$3&lt;&gt;"","&amp;tag="&amp;'Mode d''emploi'!$B$3,""),"Chercher sur Amazon"))</f>
        <v>Chercher sur Amazon</v>
      </c>
      <c r="AC25" s="22" t="str">
        <f aca="false">IF(C25&lt;&gt;"",HYPERLINK(C25,"Lien produit"),IF(AA25="","",HYPERLINK("https://www.amazon.fr/s?k="&amp;SUBSTITUTE(TRIM(AA25)," ","+")&amp;IF('Mode d''emploi'!$B$3&lt;&gt;"","&amp;tag="&amp;'Mode d''emploi'!$B$3,""),"Recherche + tag")))</f>
        <v>Lien produit</v>
      </c>
      <c r="AD25" s="14" t="s">
        <v>150</v>
      </c>
      <c r="AE25" s="14"/>
    </row>
    <row r="26" customFormat="false" ht="61.5" hidden="false" customHeight="true" outlineLevel="0" collapsed="false">
      <c r="A26" s="17" t="n">
        <f aca="false">ROW()-22</f>
        <v>4</v>
      </c>
      <c r="B26" s="14" t="s">
        <v>134</v>
      </c>
      <c r="C26" s="18" t="s">
        <v>182</v>
      </c>
      <c r="D26" s="14" t="s">
        <v>183</v>
      </c>
      <c r="E26" s="14" t="s">
        <v>184</v>
      </c>
      <c r="F26" s="14" t="s">
        <v>185</v>
      </c>
      <c r="G26" s="14" t="s">
        <v>172</v>
      </c>
      <c r="H26" s="19" t="n">
        <v>19.99</v>
      </c>
      <c r="I26" s="19" t="n">
        <v>21.99</v>
      </c>
      <c r="J26" s="20" t="n">
        <f aca="false">IF(AND(ISNUMBER(H26),ISNUMBER(I26),I26&gt;H26),1-H26/I26,"")</f>
        <v>0.0909504320145521</v>
      </c>
      <c r="K26" s="21" t="n">
        <v>4.7</v>
      </c>
      <c r="L26" s="14" t="n">
        <v>9879</v>
      </c>
      <c r="M26" s="14" t="s">
        <v>186</v>
      </c>
      <c r="N26" s="14" t="s">
        <v>187</v>
      </c>
      <c r="O26" s="14" t="s">
        <v>188</v>
      </c>
      <c r="P26" s="14" t="s">
        <v>189</v>
      </c>
      <c r="Q26" s="14" t="s">
        <v>190</v>
      </c>
      <c r="R26" s="14" t="s">
        <v>191</v>
      </c>
      <c r="S26" s="14" t="s">
        <v>145</v>
      </c>
      <c r="T26" s="14" t="n">
        <v>1</v>
      </c>
      <c r="U26" s="14" t="s">
        <v>192</v>
      </c>
      <c r="V26" s="14"/>
      <c r="W26" s="14" t="s">
        <v>164</v>
      </c>
      <c r="X26" s="14"/>
      <c r="Y26" s="14" t="s">
        <v>193</v>
      </c>
      <c r="Z26" s="14" t="s">
        <v>194</v>
      </c>
      <c r="AA26" s="14" t="s">
        <v>195</v>
      </c>
      <c r="AB26" s="22" t="str">
        <f aca="false">IF(AA26="","",HYPERLINK("https://www.amazon.fr/s?k="&amp;SUBSTITUTE(TRIM(AA26)," ","+")&amp;IF('Mode d''emploi'!$B$3&lt;&gt;"","&amp;tag="&amp;'Mode d''emploi'!$B$3,""),"Chercher sur Amazon"))</f>
        <v>Chercher sur Amazon</v>
      </c>
      <c r="AC26" s="22" t="str">
        <f aca="false">IF(C26&lt;&gt;"",HYPERLINK(C26,"Lien produit"),IF(AA26="","",HYPERLINK("https://www.amazon.fr/s?k="&amp;SUBSTITUTE(TRIM(AA26)," ","+")&amp;IF('Mode d''emploi'!$B$3&lt;&gt;"","&amp;tag="&amp;'Mode d''emploi'!$B$3,""),"Recherche + tag")))</f>
        <v>Lien produit</v>
      </c>
      <c r="AD26" s="14" t="s">
        <v>150</v>
      </c>
      <c r="AE26" s="14" t="s">
        <v>196</v>
      </c>
    </row>
    <row r="27" customFormat="false" ht="61.5" hidden="false" customHeight="true" outlineLevel="0" collapsed="false">
      <c r="A27" s="17" t="n">
        <f aca="false">ROW()-22</f>
        <v>5</v>
      </c>
      <c r="B27" s="14" t="s">
        <v>134</v>
      </c>
      <c r="C27" s="18" t="s">
        <v>197</v>
      </c>
      <c r="D27" s="14" t="s">
        <v>198</v>
      </c>
      <c r="E27" s="14" t="s">
        <v>199</v>
      </c>
      <c r="F27" s="14" t="s">
        <v>200</v>
      </c>
      <c r="G27" s="14" t="s">
        <v>139</v>
      </c>
      <c r="H27" s="19" t="n">
        <v>40.38</v>
      </c>
      <c r="I27" s="19"/>
      <c r="J27" s="20" t="str">
        <f aca="false">IF(AND(ISNUMBER(H27),ISNUMBER(I27),I27&gt;H27),1-H27/I27,"")</f>
        <v/>
      </c>
      <c r="K27" s="21" t="n">
        <v>4.4</v>
      </c>
      <c r="L27" s="14" t="n">
        <v>37</v>
      </c>
      <c r="M27" s="14" t="s">
        <v>201</v>
      </c>
      <c r="N27" s="14" t="s">
        <v>202</v>
      </c>
      <c r="O27" s="14" t="s">
        <v>203</v>
      </c>
      <c r="P27" s="14" t="s">
        <v>204</v>
      </c>
      <c r="Q27" s="14" t="s">
        <v>205</v>
      </c>
      <c r="R27" s="14" t="s">
        <v>206</v>
      </c>
      <c r="S27" s="14" t="s">
        <v>66</v>
      </c>
      <c r="T27" s="14" t="n">
        <v>1</v>
      </c>
      <c r="U27" s="14" t="s">
        <v>207</v>
      </c>
      <c r="V27" s="14"/>
      <c r="W27" s="14" t="s">
        <v>164</v>
      </c>
      <c r="X27" s="14" t="n">
        <v>4</v>
      </c>
      <c r="Y27" s="14"/>
      <c r="Z27" s="14"/>
      <c r="AA27" s="14" t="s">
        <v>208</v>
      </c>
      <c r="AB27" s="22" t="str">
        <f aca="false">IF(AA27="","",HYPERLINK("https://www.amazon.fr/s?k="&amp;SUBSTITUTE(TRIM(AA27)," ","+")&amp;IF('Mode d''emploi'!$B$3&lt;&gt;"","&amp;tag="&amp;'Mode d''emploi'!$B$3,""),"Chercher sur Amazon"))</f>
        <v>Chercher sur Amazon</v>
      </c>
      <c r="AC27" s="22" t="str">
        <f aca="false">IF(C27&lt;&gt;"",HYPERLINK(C27,"Lien produit"),IF(AA27="","",HYPERLINK("https://www.amazon.fr/s?k="&amp;SUBSTITUTE(TRIM(AA27)," ","+")&amp;IF('Mode d''emploi'!$B$3&lt;&gt;"","&amp;tag="&amp;'Mode d''emploi'!$B$3,""),"Recherche + tag")))</f>
        <v>Lien produit</v>
      </c>
      <c r="AD27" s="14" t="s">
        <v>150</v>
      </c>
      <c r="AE27" s="14"/>
    </row>
    <row r="28" customFormat="false" ht="61.5" hidden="false" customHeight="true" outlineLevel="0" collapsed="false">
      <c r="A28" s="17" t="n">
        <f aca="false">ROW()-22</f>
        <v>6</v>
      </c>
      <c r="B28" s="14" t="s">
        <v>134</v>
      </c>
      <c r="C28" s="18" t="s">
        <v>209</v>
      </c>
      <c r="D28" s="14" t="s">
        <v>210</v>
      </c>
      <c r="E28" s="14" t="s">
        <v>211</v>
      </c>
      <c r="F28" s="14" t="s">
        <v>212</v>
      </c>
      <c r="G28" s="14" t="s">
        <v>172</v>
      </c>
      <c r="H28" s="19" t="n">
        <v>39.3</v>
      </c>
      <c r="I28" s="19"/>
      <c r="J28" s="20" t="str">
        <f aca="false">IF(AND(ISNUMBER(H28),ISNUMBER(I28),I28&gt;H28),1-H28/I28,"")</f>
        <v/>
      </c>
      <c r="K28" s="21" t="n">
        <v>5</v>
      </c>
      <c r="L28" s="14" t="n">
        <v>10</v>
      </c>
      <c r="M28" s="14" t="s">
        <v>213</v>
      </c>
      <c r="N28" s="14" t="s">
        <v>214</v>
      </c>
      <c r="O28" s="14" t="s">
        <v>215</v>
      </c>
      <c r="P28" s="14" t="s">
        <v>216</v>
      </c>
      <c r="Q28" s="14" t="s">
        <v>217</v>
      </c>
      <c r="R28" s="14" t="s">
        <v>218</v>
      </c>
      <c r="S28" s="14" t="s">
        <v>66</v>
      </c>
      <c r="T28" s="14" t="n">
        <v>10</v>
      </c>
      <c r="U28" s="14" t="s">
        <v>219</v>
      </c>
      <c r="V28" s="14" t="n">
        <v>10</v>
      </c>
      <c r="W28" s="14" t="s">
        <v>164</v>
      </c>
      <c r="X28" s="14"/>
      <c r="Y28" s="14"/>
      <c r="Z28" s="14"/>
      <c r="AA28" s="14" t="s">
        <v>220</v>
      </c>
      <c r="AB28" s="22" t="str">
        <f aca="false">IF(AA28="","",HYPERLINK("https://www.amazon.fr/s?k="&amp;SUBSTITUTE(TRIM(AA28)," ","+")&amp;IF('Mode d''emploi'!$B$3&lt;&gt;"","&amp;tag="&amp;'Mode d''emploi'!$B$3,""),"Chercher sur Amazon"))</f>
        <v>Chercher sur Amazon</v>
      </c>
      <c r="AC28" s="22" t="str">
        <f aca="false">IF(C28&lt;&gt;"",HYPERLINK(C28,"Lien produit"),IF(AA28="","",HYPERLINK("https://www.amazon.fr/s?k="&amp;SUBSTITUTE(TRIM(AA28)," ","+")&amp;IF('Mode d''emploi'!$B$3&lt;&gt;"","&amp;tag="&amp;'Mode d''emploi'!$B$3,""),"Recherche + tag")))</f>
        <v>Lien produit</v>
      </c>
      <c r="AD28" s="14" t="s">
        <v>150</v>
      </c>
      <c r="AE28" s="14" t="s">
        <v>221</v>
      </c>
    </row>
    <row r="29" customFormat="false" ht="61.5" hidden="false" customHeight="true" outlineLevel="0" collapsed="false">
      <c r="A29" s="17" t="n">
        <f aca="false">ROW()-22</f>
        <v>7</v>
      </c>
      <c r="B29" s="14" t="s">
        <v>134</v>
      </c>
      <c r="C29" s="18" t="s">
        <v>222</v>
      </c>
      <c r="D29" s="14" t="s">
        <v>223</v>
      </c>
      <c r="E29" s="14" t="s">
        <v>224</v>
      </c>
      <c r="F29" s="14" t="s">
        <v>225</v>
      </c>
      <c r="G29" s="14" t="s">
        <v>156</v>
      </c>
      <c r="H29" s="19" t="n">
        <v>155</v>
      </c>
      <c r="I29" s="19"/>
      <c r="J29" s="20" t="str">
        <f aca="false">IF(AND(ISNUMBER(H29),ISNUMBER(I29),I29&gt;H29),1-H29/I29,"")</f>
        <v/>
      </c>
      <c r="K29" s="21" t="n">
        <v>4.1</v>
      </c>
      <c r="L29" s="14" t="n">
        <v>133</v>
      </c>
      <c r="M29" s="14" t="s">
        <v>226</v>
      </c>
      <c r="N29" s="14" t="s">
        <v>227</v>
      </c>
      <c r="O29" s="14" t="s">
        <v>228</v>
      </c>
      <c r="P29" s="14" t="s">
        <v>229</v>
      </c>
      <c r="Q29" s="14" t="s">
        <v>230</v>
      </c>
      <c r="R29" s="14" t="s">
        <v>231</v>
      </c>
      <c r="S29" s="14" t="s">
        <v>232</v>
      </c>
      <c r="T29" s="14" t="n">
        <v>1</v>
      </c>
      <c r="U29" s="14" t="s">
        <v>233</v>
      </c>
      <c r="V29" s="14"/>
      <c r="W29" s="14" t="s">
        <v>164</v>
      </c>
      <c r="X29" s="14"/>
      <c r="Y29" s="14"/>
      <c r="Z29" s="14"/>
      <c r="AA29" s="14" t="s">
        <v>234</v>
      </c>
      <c r="AB29" s="22" t="str">
        <f aca="false">IF(AA29="","",HYPERLINK("https://www.amazon.fr/s?k="&amp;SUBSTITUTE(TRIM(AA29)," ","+")&amp;IF('Mode d''emploi'!$B$3&lt;&gt;"","&amp;tag="&amp;'Mode d''emploi'!$B$3,""),"Chercher sur Amazon"))</f>
        <v>Chercher sur Amazon</v>
      </c>
      <c r="AC29" s="22" t="str">
        <f aca="false">IF(C29&lt;&gt;"",HYPERLINK(C29,"Lien produit"),IF(AA29="","",HYPERLINK("https://www.amazon.fr/s?k="&amp;SUBSTITUTE(TRIM(AA29)," ","+")&amp;IF('Mode d''emploi'!$B$3&lt;&gt;"","&amp;tag="&amp;'Mode d''emploi'!$B$3,""),"Recherche + tag")))</f>
        <v>Lien produit</v>
      </c>
      <c r="AD29" s="14" t="s">
        <v>150</v>
      </c>
      <c r="AE29" s="14" t="s">
        <v>235</v>
      </c>
    </row>
    <row r="30" customFormat="false" ht="61.5" hidden="false" customHeight="true" outlineLevel="0" collapsed="false">
      <c r="A30" s="17" t="n">
        <f aca="false">ROW()-22</f>
        <v>8</v>
      </c>
      <c r="B30" s="14" t="s">
        <v>164</v>
      </c>
      <c r="C30" s="18" t="s">
        <v>236</v>
      </c>
      <c r="D30" s="14" t="s">
        <v>237</v>
      </c>
      <c r="E30" s="14" t="s">
        <v>238</v>
      </c>
      <c r="F30" s="14" t="s">
        <v>239</v>
      </c>
      <c r="G30" s="14" t="s">
        <v>172</v>
      </c>
      <c r="H30" s="19" t="n">
        <v>50.85</v>
      </c>
      <c r="I30" s="19"/>
      <c r="J30" s="20" t="str">
        <f aca="false">IF(AND(ISNUMBER(H30),ISNUMBER(I30),I30&gt;H30),1-H30/I30,"")</f>
        <v/>
      </c>
      <c r="K30" s="21" t="n">
        <v>4.5</v>
      </c>
      <c r="L30" s="14" t="n">
        <v>725</v>
      </c>
      <c r="M30" s="14" t="s">
        <v>240</v>
      </c>
      <c r="N30" s="14"/>
      <c r="O30" s="14"/>
      <c r="P30" s="14" t="s">
        <v>241</v>
      </c>
      <c r="Q30" s="14" t="s">
        <v>242</v>
      </c>
      <c r="R30" s="14" t="s">
        <v>243</v>
      </c>
      <c r="S30" s="14" t="s">
        <v>145</v>
      </c>
      <c r="T30" s="14" t="n">
        <v>6</v>
      </c>
      <c r="U30" s="14" t="s">
        <v>244</v>
      </c>
      <c r="V30" s="14" t="n">
        <v>6</v>
      </c>
      <c r="W30" s="14" t="s">
        <v>164</v>
      </c>
      <c r="X30" s="14"/>
      <c r="Y30" s="14"/>
      <c r="Z30" s="14"/>
      <c r="AA30" s="14" t="s">
        <v>245</v>
      </c>
      <c r="AB30" s="22" t="str">
        <f aca="false">IF(AA30="","",HYPERLINK("https://www.amazon.fr/s?k="&amp;SUBSTITUTE(TRIM(AA30)," ","+")&amp;IF('Mode d''emploi'!$B$3&lt;&gt;"","&amp;tag="&amp;'Mode d''emploi'!$B$3,""),"Chercher sur Amazon"))</f>
        <v>Chercher sur Amazon</v>
      </c>
      <c r="AC30" s="22" t="str">
        <f aca="false">IF(C30&lt;&gt;"",HYPERLINK(C30,"Lien produit"),IF(AA30="","",HYPERLINK("https://www.amazon.fr/s?k="&amp;SUBSTITUTE(TRIM(AA30)," ","+")&amp;IF('Mode d''emploi'!$B$3&lt;&gt;"","&amp;tag="&amp;'Mode d''emploi'!$B$3,""),"Recherche + tag")))</f>
        <v>Lien produit</v>
      </c>
      <c r="AD30" s="14" t="s">
        <v>246</v>
      </c>
      <c r="AE30" s="14" t="s">
        <v>247</v>
      </c>
    </row>
    <row r="31" customFormat="false" ht="30" hidden="false" customHeight="true" outlineLevel="0" collapsed="false">
      <c r="A31" s="17"/>
      <c r="B31" s="14"/>
      <c r="C31" s="18"/>
      <c r="D31" s="14"/>
      <c r="E31" s="14"/>
      <c r="F31" s="14"/>
      <c r="G31" s="14"/>
      <c r="H31" s="14"/>
      <c r="I31" s="14"/>
      <c r="J31" s="17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7"/>
      <c r="AC31" s="17"/>
      <c r="AD31" s="14"/>
      <c r="AE31" s="14"/>
    </row>
    <row r="32" customFormat="false" ht="30" hidden="false" customHeight="true" outlineLevel="0" collapsed="false">
      <c r="A32" s="17"/>
      <c r="B32" s="14"/>
      <c r="C32" s="18"/>
      <c r="D32" s="14"/>
      <c r="E32" s="14"/>
      <c r="F32" s="14"/>
      <c r="G32" s="14"/>
      <c r="H32" s="14"/>
      <c r="I32" s="14"/>
      <c r="J32" s="17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7"/>
      <c r="AC32" s="17"/>
      <c r="AD32" s="14"/>
      <c r="AE32" s="14"/>
    </row>
    <row r="33" customFormat="false" ht="30" hidden="false" customHeight="true" outlineLevel="0" collapsed="false">
      <c r="A33" s="17"/>
      <c r="B33" s="14"/>
      <c r="C33" s="18"/>
      <c r="D33" s="14"/>
      <c r="E33" s="14"/>
      <c r="F33" s="14"/>
      <c r="G33" s="14"/>
      <c r="H33" s="14"/>
      <c r="I33" s="14"/>
      <c r="J33" s="17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7"/>
      <c r="AC33" s="17"/>
      <c r="AD33" s="14"/>
      <c r="AE33" s="14"/>
    </row>
    <row r="34" customFormat="false" ht="30" hidden="false" customHeight="true" outlineLevel="0" collapsed="false">
      <c r="A34" s="17"/>
      <c r="B34" s="14"/>
      <c r="C34" s="18"/>
      <c r="D34" s="14"/>
      <c r="E34" s="14"/>
      <c r="F34" s="14"/>
      <c r="G34" s="14"/>
      <c r="H34" s="14"/>
      <c r="I34" s="14"/>
      <c r="J34" s="17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7"/>
      <c r="AC34" s="17"/>
      <c r="AD34" s="14"/>
      <c r="AE34" s="14"/>
    </row>
    <row r="35" customFormat="false" ht="30" hidden="false" customHeight="true" outlineLevel="0" collapsed="false">
      <c r="A35" s="17"/>
      <c r="B35" s="14"/>
      <c r="C35" s="18"/>
      <c r="D35" s="14"/>
      <c r="E35" s="14"/>
      <c r="F35" s="14"/>
      <c r="G35" s="14"/>
      <c r="H35" s="14"/>
      <c r="I35" s="14"/>
      <c r="J35" s="17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7"/>
      <c r="AC35" s="17"/>
      <c r="AD35" s="14"/>
      <c r="AE35" s="14"/>
    </row>
    <row r="36" customFormat="false" ht="30" hidden="false" customHeight="true" outlineLevel="0" collapsed="false">
      <c r="A36" s="17"/>
      <c r="B36" s="14"/>
      <c r="C36" s="18"/>
      <c r="D36" s="14"/>
      <c r="E36" s="14"/>
      <c r="F36" s="14"/>
      <c r="G36" s="14"/>
      <c r="H36" s="14"/>
      <c r="I36" s="14"/>
      <c r="J36" s="17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7"/>
      <c r="AC36" s="17"/>
      <c r="AD36" s="14"/>
      <c r="AE36" s="14"/>
    </row>
    <row r="38" customFormat="false" ht="15" hidden="false" customHeight="true" outlineLevel="0" collapsed="false">
      <c r="A38" s="5" t="s">
        <v>248</v>
      </c>
    </row>
  </sheetData>
  <autoFilter ref="A22:AE36"/>
  <mergeCells count="18">
    <mergeCell ref="A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</mergeCells>
  <conditionalFormatting sqref="A23:AE36">
    <cfRule type="expression" priority="2" aboveAverage="0" equalAverage="0" bottom="0" percent="0" rank="0" text="" dxfId="10">
      <formula>$B23="Non"</formula>
    </cfRule>
  </conditionalFormatting>
  <conditionalFormatting sqref="AD23:AD36">
    <cfRule type="expression" priority="3" aboveAverage="0" equalAverage="0" bottom="0" percent="0" rank="0" text="" dxfId="11">
      <formula>AD23="Validé"</formula>
    </cfRule>
    <cfRule type="expression" priority="4" aboveAverage="0" equalAverage="0" bottom="0" percent="0" rank="0" text="" dxfId="12">
      <formula>AD23="À remplacer"</formula>
    </cfRule>
  </conditionalFormatting>
  <dataValidations count="8">
    <dataValidation allowBlank="true" errorStyle="stop" operator="between" showDropDown="false" showErrorMessage="false" showInputMessage="false" sqref="B23:B36" type="list">
      <formula1>Listes!$B$2:$B$3</formula1>
      <formula2>0</formula2>
    </dataValidation>
    <dataValidation allowBlank="true" errorStyle="stop" operator="between" showDropDown="false" showErrorMessage="false" showInputMessage="false" sqref="W23:W36" type="list">
      <formula1>Listes!$B$2:$B$3</formula1>
      <formula2>0</formula2>
    </dataValidation>
    <dataValidation allowBlank="true" errorStyle="stop" operator="between" showDropDown="false" showErrorMessage="false" showInputMessage="false" sqref="S23:S36" type="list">
      <formula1>Listes!$D$2:$D$4</formula1>
      <formula2>0</formula2>
    </dataValidation>
    <dataValidation allowBlank="true" errorStyle="stop" operator="between" showDropDown="false" showErrorMessage="false" showInputMessage="false" sqref="G23:G36" type="list">
      <formula1>Listes!$E$2:$E$4</formula1>
      <formula2>0</formula2>
    </dataValidation>
    <dataValidation allowBlank="true" errorStyle="stop" operator="between" showDropDown="false" showErrorMessage="false" showInputMessage="false" sqref="AD23:AD36" type="list">
      <formula1>Listes!$C$2:$C$5</formula1>
      <formula2>0</formula2>
    </dataValidation>
    <dataValidation allowBlank="true" errorStyle="stop" operator="greaterThanOrEqual" showDropDown="false" showErrorMessage="false" showInputMessage="false" sqref="H23:I36" type="decimal">
      <formula1>0</formula1>
      <formula2>0</formula2>
    </dataValidation>
    <dataValidation allowBlank="true" errorStyle="stop" operator="between" showDropDown="false" showErrorMessage="false" showInputMessage="false" sqref="K23:K36" type="decimal">
      <formula1>0</formula1>
      <formula2>5</formula2>
    </dataValidation>
    <dataValidation allowBlank="true" errorStyle="stop" operator="between" showDropDown="false" showErrorMessage="false" showInputMessage="false" sqref="X23:X36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6" min="5" style="0" width="11"/>
    <col collapsed="false" customWidth="true" hidden="false" outlineLevel="0" max="8" min="7" style="0" width="9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30"/>
    <col collapsed="false" customWidth="true" hidden="false" outlineLevel="0" max="12" min="12" style="0" width="10"/>
    <col collapsed="false" customWidth="true" hidden="true" outlineLevel="0" max="40" min="40" style="0" width="13"/>
  </cols>
  <sheetData>
    <row r="1" customFormat="false" ht="18.55" hidden="false" customHeight="false" outlineLevel="0" collapsed="false">
      <c r="A1" s="23" t="s">
        <v>249</v>
      </c>
    </row>
    <row r="2" customFormat="false" ht="15" hidden="false" customHeight="false" outlineLevel="0" collapsed="false">
      <c r="A2" s="24" t="s">
        <v>250</v>
      </c>
      <c r="B2" s="24"/>
      <c r="C2" s="24"/>
      <c r="D2" s="24"/>
      <c r="E2" s="24"/>
      <c r="F2" s="24"/>
      <c r="G2" s="24"/>
      <c r="H2" s="24"/>
      <c r="I2" s="24"/>
      <c r="J2" s="24"/>
    </row>
    <row r="4" customFormat="false" ht="15" hidden="false" customHeight="false" outlineLevel="0" collapsed="false">
      <c r="A4" s="25" t="s">
        <v>251</v>
      </c>
      <c r="B4" s="26"/>
      <c r="C4" s="26"/>
      <c r="D4" s="26"/>
      <c r="E4" s="26"/>
      <c r="F4" s="26"/>
      <c r="G4" s="26"/>
      <c r="H4" s="26"/>
      <c r="I4" s="26"/>
      <c r="J4" s="26"/>
      <c r="K4" s="26"/>
    </row>
    <row r="5" customFormat="false" ht="15" hidden="false" customHeight="true" outlineLevel="0" collapsed="false">
      <c r="A5" s="13" t="s">
        <v>27</v>
      </c>
      <c r="B5" s="14" t="s">
        <v>252</v>
      </c>
      <c r="C5" s="14"/>
      <c r="D5" s="14"/>
      <c r="E5" s="14"/>
      <c r="F5" s="14"/>
      <c r="G5" s="14"/>
      <c r="H5" s="14"/>
      <c r="I5" s="14"/>
      <c r="J5" s="14"/>
      <c r="AN5" s="0" t="s">
        <v>29</v>
      </c>
    </row>
    <row r="6" customFormat="false" ht="15" hidden="false" customHeight="true" outlineLevel="0" collapsed="false">
      <c r="A6" s="13" t="s">
        <v>33</v>
      </c>
      <c r="B6" s="14" t="s">
        <v>253</v>
      </c>
      <c r="C6" s="14"/>
      <c r="D6" s="14"/>
      <c r="E6" s="14"/>
      <c r="F6" s="14"/>
      <c r="G6" s="14"/>
      <c r="H6" s="14"/>
      <c r="I6" s="14"/>
      <c r="J6" s="14"/>
      <c r="AN6" s="0" t="s">
        <v>35</v>
      </c>
    </row>
    <row r="7" customFormat="false" ht="15" hidden="false" customHeight="true" outlineLevel="0" collapsed="false">
      <c r="A7" s="13" t="s">
        <v>30</v>
      </c>
      <c r="B7" s="14" t="s">
        <v>31</v>
      </c>
      <c r="C7" s="14"/>
      <c r="D7" s="14"/>
      <c r="E7" s="14"/>
      <c r="F7" s="14"/>
      <c r="G7" s="14"/>
      <c r="H7" s="14"/>
      <c r="I7" s="14"/>
      <c r="J7" s="14"/>
      <c r="AN7" s="0" t="s">
        <v>32</v>
      </c>
    </row>
    <row r="8" customFormat="false" ht="26.85" hidden="false" customHeight="true" outlineLevel="0" collapsed="false">
      <c r="A8" s="13" t="s">
        <v>36</v>
      </c>
      <c r="B8" s="14" t="s">
        <v>37</v>
      </c>
      <c r="C8" s="14"/>
      <c r="D8" s="14"/>
      <c r="E8" s="14"/>
      <c r="F8" s="14"/>
      <c r="G8" s="14"/>
      <c r="H8" s="14"/>
      <c r="I8" s="14"/>
      <c r="J8" s="14"/>
      <c r="AN8" s="0" t="s">
        <v>38</v>
      </c>
    </row>
    <row r="9" customFormat="false" ht="26.85" hidden="false" customHeight="true" outlineLevel="0" collapsed="false">
      <c r="A9" s="13" t="s">
        <v>39</v>
      </c>
      <c r="B9" s="14" t="s">
        <v>40</v>
      </c>
      <c r="C9" s="14"/>
      <c r="D9" s="14"/>
      <c r="E9" s="14"/>
      <c r="F9" s="14"/>
      <c r="G9" s="14"/>
      <c r="H9" s="14"/>
      <c r="I9" s="14"/>
      <c r="J9" s="14"/>
      <c r="AN9" s="0" t="s">
        <v>41</v>
      </c>
    </row>
    <row r="10" customFormat="false" ht="15" hidden="false" customHeight="true" outlineLevel="0" collapsed="false">
      <c r="A10" s="13" t="s">
        <v>68</v>
      </c>
      <c r="B10" s="14" t="s">
        <v>69</v>
      </c>
      <c r="C10" s="14"/>
      <c r="D10" s="14"/>
      <c r="E10" s="14"/>
      <c r="F10" s="14"/>
      <c r="G10" s="14"/>
      <c r="H10" s="14"/>
      <c r="I10" s="14"/>
      <c r="J10" s="14"/>
      <c r="AN10" s="0" t="s">
        <v>70</v>
      </c>
    </row>
    <row r="11" customFormat="false" ht="15" hidden="false" customHeight="true" outlineLevel="0" collapsed="false">
      <c r="A11" s="13" t="s">
        <v>254</v>
      </c>
      <c r="B11" s="14" t="s">
        <v>255</v>
      </c>
      <c r="C11" s="14"/>
      <c r="D11" s="14"/>
      <c r="E11" s="14"/>
      <c r="F11" s="14"/>
      <c r="G11" s="14"/>
      <c r="H11" s="14"/>
      <c r="I11" s="14"/>
      <c r="J11" s="14"/>
      <c r="AN11" s="0" t="s">
        <v>256</v>
      </c>
    </row>
    <row r="12" customFormat="false" ht="31.5" hidden="false" customHeight="true" outlineLevel="0" collapsed="false">
      <c r="A12" s="13" t="s">
        <v>257</v>
      </c>
      <c r="B12" s="14" t="s">
        <v>258</v>
      </c>
      <c r="C12" s="14"/>
      <c r="D12" s="14"/>
      <c r="E12" s="14"/>
      <c r="F12" s="14"/>
      <c r="G12" s="14"/>
      <c r="H12" s="14"/>
      <c r="I12" s="14"/>
      <c r="J12" s="14"/>
      <c r="AN12" s="0" t="s">
        <v>259</v>
      </c>
    </row>
    <row r="13" customFormat="false" ht="31.5" hidden="false" customHeight="true" outlineLevel="0" collapsed="false">
      <c r="A13" s="13" t="s">
        <v>260</v>
      </c>
      <c r="B13" s="14" t="s">
        <v>261</v>
      </c>
      <c r="C13" s="14"/>
      <c r="D13" s="14"/>
      <c r="E13" s="14"/>
      <c r="F13" s="14"/>
      <c r="G13" s="14"/>
      <c r="H13" s="14"/>
      <c r="I13" s="14"/>
      <c r="J13" s="14"/>
      <c r="AN13" s="0" t="s">
        <v>262</v>
      </c>
    </row>
    <row r="14" customFormat="false" ht="26.85" hidden="false" customHeight="true" outlineLevel="0" collapsed="false">
      <c r="A14" s="13" t="s">
        <v>263</v>
      </c>
      <c r="B14" s="14" t="s">
        <v>264</v>
      </c>
      <c r="C14" s="14"/>
      <c r="D14" s="14"/>
      <c r="E14" s="14"/>
      <c r="F14" s="14"/>
      <c r="G14" s="14"/>
      <c r="H14" s="14"/>
      <c r="I14" s="14"/>
      <c r="J14" s="14"/>
      <c r="AN14" s="0" t="s">
        <v>265</v>
      </c>
    </row>
    <row r="15" customFormat="false" ht="31.5" hidden="false" customHeight="true" outlineLevel="0" collapsed="false">
      <c r="A15" s="13" t="s">
        <v>266</v>
      </c>
      <c r="B15" s="14" t="s">
        <v>267</v>
      </c>
      <c r="C15" s="14"/>
      <c r="D15" s="14"/>
      <c r="E15" s="14"/>
      <c r="F15" s="14"/>
      <c r="G15" s="14"/>
      <c r="H15" s="14"/>
      <c r="I15" s="14"/>
      <c r="J15" s="14"/>
      <c r="AN15" s="0" t="s">
        <v>268</v>
      </c>
    </row>
    <row r="16" customFormat="false" ht="15" hidden="false" customHeight="true" outlineLevel="0" collapsed="false">
      <c r="A16" s="13" t="s">
        <v>269</v>
      </c>
      <c r="B16" s="14" t="s">
        <v>270</v>
      </c>
      <c r="C16" s="14"/>
      <c r="D16" s="14"/>
      <c r="E16" s="14"/>
      <c r="F16" s="14"/>
      <c r="G16" s="14"/>
      <c r="H16" s="14"/>
      <c r="I16" s="14"/>
      <c r="J16" s="14"/>
      <c r="AN16" s="0" t="s">
        <v>271</v>
      </c>
    </row>
    <row r="17" customFormat="false" ht="31.5" hidden="false" customHeight="true" outlineLevel="0" collapsed="false">
      <c r="A17" s="13" t="s">
        <v>272</v>
      </c>
      <c r="B17" s="14" t="s">
        <v>273</v>
      </c>
      <c r="C17" s="14"/>
      <c r="D17" s="14"/>
      <c r="E17" s="14"/>
      <c r="F17" s="14"/>
      <c r="G17" s="14"/>
      <c r="H17" s="14"/>
      <c r="I17" s="14"/>
      <c r="J17" s="14"/>
      <c r="AN17" s="0" t="s">
        <v>274</v>
      </c>
    </row>
    <row r="18" customFormat="false" ht="26.85" hidden="false" customHeight="true" outlineLevel="0" collapsed="false">
      <c r="A18" s="13" t="s">
        <v>275</v>
      </c>
      <c r="B18" s="14" t="s">
        <v>276</v>
      </c>
      <c r="C18" s="14"/>
      <c r="D18" s="14"/>
      <c r="E18" s="14"/>
      <c r="F18" s="14"/>
      <c r="G18" s="14"/>
      <c r="H18" s="14"/>
      <c r="I18" s="14"/>
      <c r="J18" s="14"/>
      <c r="AN18" s="0" t="s">
        <v>277</v>
      </c>
    </row>
    <row r="19" customFormat="false" ht="31.5" hidden="false" customHeight="true" outlineLevel="0" collapsed="false">
      <c r="A19" s="13" t="s">
        <v>278</v>
      </c>
      <c r="B19" s="14" t="s">
        <v>279</v>
      </c>
      <c r="C19" s="14"/>
      <c r="D19" s="14"/>
      <c r="E19" s="14"/>
      <c r="F19" s="14"/>
      <c r="G19" s="14"/>
      <c r="H19" s="14"/>
      <c r="I19" s="14"/>
      <c r="J19" s="14"/>
      <c r="AN19" s="0" t="s">
        <v>280</v>
      </c>
    </row>
    <row r="20" customFormat="false" ht="15" hidden="false" customHeight="true" outlineLevel="0" collapsed="false">
      <c r="A20" s="13" t="s">
        <v>281</v>
      </c>
      <c r="B20" s="14" t="s">
        <v>282</v>
      </c>
      <c r="C20" s="14"/>
      <c r="D20" s="14"/>
      <c r="E20" s="14"/>
      <c r="F20" s="14"/>
      <c r="G20" s="14"/>
      <c r="H20" s="14"/>
      <c r="I20" s="14"/>
      <c r="J20" s="14"/>
      <c r="AN20" s="0" t="s">
        <v>283</v>
      </c>
    </row>
    <row r="21" customFormat="false" ht="15" hidden="false" customHeight="true" outlineLevel="0" collapsed="false">
      <c r="A21" s="13" t="s">
        <v>284</v>
      </c>
      <c r="B21" s="14" t="s">
        <v>285</v>
      </c>
      <c r="C21" s="14"/>
      <c r="D21" s="14"/>
      <c r="E21" s="14"/>
      <c r="F21" s="14"/>
      <c r="G21" s="14"/>
      <c r="H21" s="14"/>
      <c r="I21" s="14"/>
      <c r="J21" s="14"/>
      <c r="AN21" s="0" t="s">
        <v>286</v>
      </c>
    </row>
    <row r="23" customFormat="false" ht="15" hidden="false" customHeight="false" outlineLevel="0" collapsed="false">
      <c r="A23" s="25" t="s">
        <v>287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AN23" s="0" t="s">
        <v>288</v>
      </c>
    </row>
    <row r="24" customFormat="false" ht="15" hidden="true" customHeight="false" outlineLevel="0" collapsed="false">
      <c r="A24" s="0" t="s">
        <v>86</v>
      </c>
      <c r="B24" s="0" t="s">
        <v>77</v>
      </c>
      <c r="C24" s="0" t="s">
        <v>76</v>
      </c>
      <c r="D24" s="0" t="s">
        <v>289</v>
      </c>
      <c r="E24" s="0" t="s">
        <v>80</v>
      </c>
      <c r="F24" s="0" t="s">
        <v>81</v>
      </c>
      <c r="G24" s="0" t="s">
        <v>83</v>
      </c>
      <c r="H24" s="0" t="s">
        <v>84</v>
      </c>
      <c r="I24" s="0" t="s">
        <v>85</v>
      </c>
      <c r="J24" s="0" t="s">
        <v>89</v>
      </c>
      <c r="K24" s="0" t="s">
        <v>290</v>
      </c>
    </row>
    <row r="25" customFormat="false" ht="30" hidden="false" customHeight="true" outlineLevel="0" collapsed="false">
      <c r="A25" s="15" t="s">
        <v>116</v>
      </c>
      <c r="B25" s="15" t="s">
        <v>291</v>
      </c>
      <c r="C25" s="16" t="s">
        <v>292</v>
      </c>
      <c r="D25" s="15" t="s">
        <v>293</v>
      </c>
      <c r="E25" s="15" t="s">
        <v>110</v>
      </c>
      <c r="F25" s="15" t="s">
        <v>111</v>
      </c>
      <c r="G25" s="15" t="s">
        <v>294</v>
      </c>
      <c r="H25" s="15" t="s">
        <v>114</v>
      </c>
      <c r="I25" s="15" t="s">
        <v>115</v>
      </c>
      <c r="J25" s="15" t="s">
        <v>295</v>
      </c>
      <c r="K25" s="15" t="s">
        <v>296</v>
      </c>
    </row>
    <row r="26" customFormat="false" ht="45.75" hidden="false" customHeight="true" outlineLevel="0" collapsed="false">
      <c r="A26" s="14" t="s">
        <v>297</v>
      </c>
      <c r="B26" s="14" t="s">
        <v>298</v>
      </c>
      <c r="C26" s="18" t="s">
        <v>299</v>
      </c>
      <c r="D26" s="14" t="s">
        <v>300</v>
      </c>
      <c r="E26" s="27" t="n">
        <v>85</v>
      </c>
      <c r="F26" s="27"/>
      <c r="G26" s="21" t="n">
        <v>4.3</v>
      </c>
      <c r="H26" s="14" t="n">
        <v>2655</v>
      </c>
      <c r="I26" s="14" t="s">
        <v>301</v>
      </c>
      <c r="J26" s="14" t="s">
        <v>302</v>
      </c>
      <c r="K26" s="14" t="s">
        <v>164</v>
      </c>
    </row>
    <row r="27" customFormat="false" ht="45.75" hidden="false" customHeight="true" outlineLevel="0" collapsed="false">
      <c r="A27" s="14" t="s">
        <v>303</v>
      </c>
      <c r="B27" s="14" t="s">
        <v>304</v>
      </c>
      <c r="C27" s="18" t="s">
        <v>305</v>
      </c>
      <c r="D27" s="14" t="s">
        <v>306</v>
      </c>
      <c r="E27" s="27" t="n">
        <v>99</v>
      </c>
      <c r="F27" s="27"/>
      <c r="G27" s="21" t="n">
        <v>4.5</v>
      </c>
      <c r="H27" s="14" t="n">
        <v>45434</v>
      </c>
      <c r="I27" s="14" t="s">
        <v>307</v>
      </c>
      <c r="J27" s="14" t="s">
        <v>308</v>
      </c>
      <c r="K27" s="14" t="s">
        <v>134</v>
      </c>
    </row>
    <row r="28" customFormat="false" ht="45.75" hidden="false" customHeight="true" outlineLevel="0" collapsed="false">
      <c r="A28" s="14" t="s">
        <v>309</v>
      </c>
      <c r="B28" s="14" t="s">
        <v>310</v>
      </c>
      <c r="C28" s="18" t="s">
        <v>311</v>
      </c>
      <c r="D28" s="14" t="s">
        <v>312</v>
      </c>
      <c r="E28" s="27" t="n">
        <v>239</v>
      </c>
      <c r="F28" s="27"/>
      <c r="G28" s="21" t="n">
        <v>4</v>
      </c>
      <c r="H28" s="14" t="n">
        <v>6966</v>
      </c>
      <c r="I28" s="14" t="s">
        <v>313</v>
      </c>
      <c r="J28" s="14" t="s">
        <v>314</v>
      </c>
      <c r="K28" s="14" t="s">
        <v>164</v>
      </c>
    </row>
    <row r="30" customFormat="false" ht="15" hidden="false" customHeight="false" outlineLevel="0" collapsed="false">
      <c r="A30" s="25" t="s">
        <v>315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AN30" s="0" t="s">
        <v>316</v>
      </c>
    </row>
    <row r="31" customFormat="false" ht="15" hidden="true" customHeight="false" outlineLevel="0" collapsed="false">
      <c r="A31" s="0" t="s">
        <v>89</v>
      </c>
      <c r="B31" s="0" t="s">
        <v>317</v>
      </c>
    </row>
    <row r="32" customFormat="false" ht="30" hidden="false" customHeight="true" outlineLevel="0" collapsed="false">
      <c r="A32" s="15" t="s">
        <v>295</v>
      </c>
      <c r="B32" s="15" t="s">
        <v>318</v>
      </c>
    </row>
    <row r="33" customFormat="false" ht="45.75" hidden="false" customHeight="true" outlineLevel="0" collapsed="false">
      <c r="A33" s="14" t="s">
        <v>308</v>
      </c>
      <c r="B33" s="14" t="s">
        <v>319</v>
      </c>
    </row>
    <row r="34" customFormat="false" ht="45.75" hidden="false" customHeight="true" outlineLevel="0" collapsed="false">
      <c r="A34" s="14" t="s">
        <v>320</v>
      </c>
      <c r="B34" s="14" t="s">
        <v>321</v>
      </c>
    </row>
    <row r="35" customFormat="false" ht="45.75" hidden="false" customHeight="true" outlineLevel="0" collapsed="false">
      <c r="A35" s="14" t="s">
        <v>322</v>
      </c>
      <c r="B35" s="14" t="s">
        <v>323</v>
      </c>
    </row>
    <row r="36" customFormat="false" ht="45.75" hidden="false" customHeight="true" outlineLevel="0" collapsed="false">
      <c r="A36" s="14" t="s">
        <v>324</v>
      </c>
      <c r="B36" s="14" t="s">
        <v>325</v>
      </c>
    </row>
    <row r="37" customFormat="false" ht="45.75" hidden="false" customHeight="true" outlineLevel="0" collapsed="false">
      <c r="A37" s="14" t="s">
        <v>326</v>
      </c>
      <c r="B37" s="14" t="s">
        <v>327</v>
      </c>
    </row>
    <row r="38" customFormat="false" ht="45.75" hidden="false" customHeight="true" outlineLevel="0" collapsed="false">
      <c r="A38" s="14" t="s">
        <v>328</v>
      </c>
      <c r="B38" s="14" t="s">
        <v>329</v>
      </c>
    </row>
    <row r="39" customFormat="false" ht="45.75" hidden="false" customHeight="true" outlineLevel="0" collapsed="false">
      <c r="A39" s="14" t="s">
        <v>330</v>
      </c>
      <c r="B39" s="14" t="s">
        <v>331</v>
      </c>
    </row>
    <row r="40" customFormat="false" ht="45.75" hidden="false" customHeight="true" outlineLevel="0" collapsed="false">
      <c r="A40" s="14" t="s">
        <v>332</v>
      </c>
      <c r="B40" s="14" t="s">
        <v>333</v>
      </c>
    </row>
    <row r="42" customFormat="false" ht="15" hidden="false" customHeight="false" outlineLevel="0" collapsed="false">
      <c r="A42" s="25" t="s">
        <v>334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AN42" s="0" t="s">
        <v>335</v>
      </c>
    </row>
    <row r="43" customFormat="false" ht="15" hidden="true" customHeight="false" outlineLevel="0" collapsed="false">
      <c r="A43" s="0" t="s">
        <v>336</v>
      </c>
      <c r="B43" s="0" t="s">
        <v>337</v>
      </c>
    </row>
    <row r="44" customFormat="false" ht="30" hidden="false" customHeight="true" outlineLevel="0" collapsed="false">
      <c r="A44" s="15" t="s">
        <v>338</v>
      </c>
      <c r="B44" s="15" t="s">
        <v>339</v>
      </c>
    </row>
    <row r="45" customFormat="false" ht="45.75" hidden="false" customHeight="true" outlineLevel="0" collapsed="false">
      <c r="A45" s="14" t="s">
        <v>340</v>
      </c>
      <c r="B45" s="14" t="s">
        <v>341</v>
      </c>
    </row>
    <row r="46" customFormat="false" ht="45.75" hidden="false" customHeight="true" outlineLevel="0" collapsed="false">
      <c r="A46" s="14" t="s">
        <v>342</v>
      </c>
      <c r="B46" s="14" t="s">
        <v>343</v>
      </c>
    </row>
    <row r="47" customFormat="false" ht="45.75" hidden="false" customHeight="true" outlineLevel="0" collapsed="false">
      <c r="A47" s="14" t="s">
        <v>344</v>
      </c>
      <c r="B47" s="14" t="s">
        <v>345</v>
      </c>
    </row>
    <row r="48" customFormat="false" ht="45.75" hidden="false" customHeight="true" outlineLevel="0" collapsed="false">
      <c r="A48" s="14" t="s">
        <v>346</v>
      </c>
      <c r="B48" s="14" t="s">
        <v>347</v>
      </c>
    </row>
    <row r="49" customFormat="false" ht="45.75" hidden="false" customHeight="true" outlineLevel="0" collapsed="false">
      <c r="A49" s="14" t="s">
        <v>348</v>
      </c>
      <c r="B49" s="14" t="s">
        <v>349</v>
      </c>
    </row>
    <row r="50" customFormat="false" ht="45.75" hidden="false" customHeight="true" outlineLevel="0" collapsed="false">
      <c r="A50" s="14" t="s">
        <v>350</v>
      </c>
      <c r="B50" s="14" t="s">
        <v>351</v>
      </c>
    </row>
    <row r="52" customFormat="false" ht="15" hidden="false" customHeight="false" outlineLevel="0" collapsed="false">
      <c r="A52" s="25" t="s">
        <v>352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AN52" s="0" t="s">
        <v>353</v>
      </c>
    </row>
    <row r="53" customFormat="false" ht="15" hidden="true" customHeight="false" outlineLevel="0" collapsed="false">
      <c r="A53" s="0" t="s">
        <v>336</v>
      </c>
      <c r="B53" s="0" t="s">
        <v>337</v>
      </c>
    </row>
    <row r="54" customFormat="false" ht="30" hidden="false" customHeight="true" outlineLevel="0" collapsed="false">
      <c r="A54" s="15" t="s">
        <v>338</v>
      </c>
      <c r="B54" s="15" t="s">
        <v>339</v>
      </c>
    </row>
    <row r="55" customFormat="false" ht="45.75" hidden="false" customHeight="true" outlineLevel="0" collapsed="false">
      <c r="A55" s="14" t="s">
        <v>354</v>
      </c>
      <c r="B55" s="14" t="s">
        <v>355</v>
      </c>
    </row>
    <row r="56" customFormat="false" ht="45.75" hidden="false" customHeight="true" outlineLevel="0" collapsed="false">
      <c r="A56" s="14" t="s">
        <v>356</v>
      </c>
      <c r="B56" s="14" t="s">
        <v>357</v>
      </c>
    </row>
    <row r="57" customFormat="false" ht="45.75" hidden="false" customHeight="true" outlineLevel="0" collapsed="false">
      <c r="A57" s="14" t="s">
        <v>358</v>
      </c>
      <c r="B57" s="14" t="s">
        <v>359</v>
      </c>
    </row>
    <row r="59" customFormat="false" ht="15" hidden="false" customHeight="false" outlineLevel="0" collapsed="false">
      <c r="A59" s="25" t="s">
        <v>360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AN59" s="0" t="s">
        <v>361</v>
      </c>
    </row>
    <row r="60" customFormat="false" ht="15" hidden="true" customHeight="false" outlineLevel="0" collapsed="false">
      <c r="A60" s="0" t="s">
        <v>362</v>
      </c>
      <c r="B60" s="0" t="s">
        <v>363</v>
      </c>
    </row>
    <row r="61" customFormat="false" ht="30" hidden="false" customHeight="true" outlineLevel="0" collapsed="false">
      <c r="A61" s="15" t="s">
        <v>364</v>
      </c>
      <c r="B61" s="15" t="s">
        <v>365</v>
      </c>
    </row>
    <row r="62" customFormat="false" ht="21.75" hidden="false" customHeight="true" outlineLevel="0" collapsed="false">
      <c r="A62" s="14" t="s">
        <v>366</v>
      </c>
      <c r="B62" s="14" t="s">
        <v>367</v>
      </c>
    </row>
    <row r="63" customFormat="false" ht="45.75" hidden="false" customHeight="true" outlineLevel="0" collapsed="false">
      <c r="A63" s="14" t="s">
        <v>368</v>
      </c>
      <c r="B63" s="14" t="s">
        <v>369</v>
      </c>
    </row>
    <row r="64" customFormat="false" ht="21.75" hidden="false" customHeight="true" outlineLevel="0" collapsed="false">
      <c r="A64" s="14" t="s">
        <v>370</v>
      </c>
      <c r="B64" s="14" t="s">
        <v>371</v>
      </c>
    </row>
    <row r="65" customFormat="false" ht="21.75" hidden="false" customHeight="true" outlineLevel="0" collapsed="false">
      <c r="A65" s="14" t="s">
        <v>372</v>
      </c>
      <c r="B65" s="14" t="s">
        <v>373</v>
      </c>
    </row>
    <row r="66" customFormat="false" ht="21.75" hidden="false" customHeight="true" outlineLevel="0" collapsed="false">
      <c r="A66" s="14" t="s">
        <v>374</v>
      </c>
      <c r="B66" s="14" t="s">
        <v>375</v>
      </c>
    </row>
    <row r="67" customFormat="false" ht="21.75" hidden="false" customHeight="true" outlineLevel="0" collapsed="false">
      <c r="A67" s="14" t="s">
        <v>376</v>
      </c>
      <c r="B67" s="14" t="s">
        <v>377</v>
      </c>
    </row>
    <row r="68" customFormat="false" ht="21.75" hidden="false" customHeight="true" outlineLevel="0" collapsed="false">
      <c r="A68" s="14" t="s">
        <v>378</v>
      </c>
      <c r="B68" s="14" t="s">
        <v>379</v>
      </c>
    </row>
    <row r="69" customFormat="false" ht="21.75" hidden="false" customHeight="true" outlineLevel="0" collapsed="false">
      <c r="A69" s="14" t="s">
        <v>380</v>
      </c>
      <c r="B69" s="14" t="s">
        <v>381</v>
      </c>
    </row>
    <row r="71" customFormat="false" ht="15" hidden="false" customHeight="false" outlineLevel="0" collapsed="false">
      <c r="A71" s="25" t="s">
        <v>382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AN71" s="0" t="s">
        <v>383</v>
      </c>
    </row>
    <row r="72" customFormat="false" ht="15" hidden="true" customHeight="false" outlineLevel="0" collapsed="false">
      <c r="A72" s="0" t="s">
        <v>384</v>
      </c>
    </row>
    <row r="73" customFormat="false" ht="30" hidden="false" customHeight="true" outlineLevel="0" collapsed="false">
      <c r="A73" s="15" t="s">
        <v>385</v>
      </c>
    </row>
    <row r="74" customFormat="false" ht="21.75" hidden="false" customHeight="true" outlineLevel="0" collapsed="false">
      <c r="A74" s="14" t="s">
        <v>386</v>
      </c>
    </row>
    <row r="75" customFormat="false" ht="21.75" hidden="false" customHeight="true" outlineLevel="0" collapsed="false">
      <c r="A75" s="14" t="s">
        <v>387</v>
      </c>
    </row>
    <row r="76" customFormat="false" ht="21.75" hidden="false" customHeight="true" outlineLevel="0" collapsed="false">
      <c r="A76" s="14" t="s">
        <v>388</v>
      </c>
    </row>
    <row r="78" customFormat="false" ht="15" hidden="false" customHeight="false" outlineLevel="0" collapsed="false">
      <c r="A78" s="25" t="s">
        <v>389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AN78" s="0" t="s">
        <v>390</v>
      </c>
    </row>
    <row r="79" customFormat="false" ht="15" hidden="true" customHeight="false" outlineLevel="0" collapsed="false">
      <c r="A79" s="0" t="s">
        <v>391</v>
      </c>
      <c r="B79" s="0" t="s">
        <v>392</v>
      </c>
      <c r="C79" s="0" t="s">
        <v>393</v>
      </c>
      <c r="D79" s="0" t="s">
        <v>394</v>
      </c>
    </row>
    <row r="80" customFormat="false" ht="30" hidden="false" customHeight="true" outlineLevel="0" collapsed="false">
      <c r="A80" s="15" t="s">
        <v>395</v>
      </c>
      <c r="B80" s="15" t="s">
        <v>396</v>
      </c>
      <c r="C80" s="15" t="s">
        <v>397</v>
      </c>
      <c r="D80" s="15" t="s">
        <v>398</v>
      </c>
    </row>
    <row r="81" customFormat="false" ht="21.75" hidden="false" customHeight="true" outlineLevel="0" collapsed="false">
      <c r="A81" s="14" t="s">
        <v>399</v>
      </c>
      <c r="B81" s="14" t="s">
        <v>400</v>
      </c>
      <c r="C81" s="14" t="s">
        <v>401</v>
      </c>
      <c r="D81" s="14" t="s">
        <v>401</v>
      </c>
    </row>
    <row r="82" customFormat="false" ht="21.75" hidden="false" customHeight="true" outlineLevel="0" collapsed="false">
      <c r="A82" s="14" t="s">
        <v>402</v>
      </c>
      <c r="B82" s="14" t="s">
        <v>400</v>
      </c>
      <c r="C82" s="14" t="s">
        <v>401</v>
      </c>
      <c r="D82" s="14" t="s">
        <v>401</v>
      </c>
    </row>
    <row r="83" customFormat="false" ht="21.75" hidden="false" customHeight="true" outlineLevel="0" collapsed="false">
      <c r="A83" s="14" t="s">
        <v>403</v>
      </c>
      <c r="B83" s="14" t="s">
        <v>400</v>
      </c>
      <c r="C83" s="14" t="s">
        <v>401</v>
      </c>
      <c r="D83" s="14" t="s">
        <v>401</v>
      </c>
    </row>
    <row r="84" customFormat="false" ht="21.75" hidden="false" customHeight="true" outlineLevel="0" collapsed="false">
      <c r="A84" s="14" t="s">
        <v>404</v>
      </c>
      <c r="B84" s="14" t="s">
        <v>400</v>
      </c>
      <c r="C84" s="14" t="s">
        <v>401</v>
      </c>
      <c r="D84" s="14" t="s">
        <v>401</v>
      </c>
    </row>
    <row r="85" customFormat="false" ht="21.75" hidden="false" customHeight="true" outlineLevel="0" collapsed="false">
      <c r="A85" s="14" t="s">
        <v>405</v>
      </c>
      <c r="B85" s="14" t="s">
        <v>400</v>
      </c>
      <c r="C85" s="14" t="s">
        <v>400</v>
      </c>
      <c r="D85" s="14" t="s">
        <v>401</v>
      </c>
    </row>
    <row r="86" customFormat="false" ht="21.75" hidden="false" customHeight="true" outlineLevel="0" collapsed="false">
      <c r="A86" s="14" t="s">
        <v>406</v>
      </c>
      <c r="B86" s="14" t="s">
        <v>407</v>
      </c>
      <c r="C86" s="14" t="s">
        <v>408</v>
      </c>
      <c r="D86" s="14" t="s">
        <v>409</v>
      </c>
    </row>
    <row r="88" customFormat="false" ht="15" hidden="false" customHeight="false" outlineLevel="0" collapsed="false">
      <c r="A88" s="25" t="s">
        <v>410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AN88" s="0" t="s">
        <v>411</v>
      </c>
    </row>
    <row r="89" customFormat="false" ht="15" hidden="true" customHeight="false" outlineLevel="0" collapsed="false">
      <c r="A89" s="0" t="s">
        <v>77</v>
      </c>
      <c r="B89" s="0" t="s">
        <v>76</v>
      </c>
      <c r="C89" s="0" t="s">
        <v>78</v>
      </c>
      <c r="D89" s="0" t="s">
        <v>87</v>
      </c>
      <c r="E89" s="0" t="s">
        <v>80</v>
      </c>
      <c r="F89" s="0" t="s">
        <v>81</v>
      </c>
      <c r="G89" s="0" t="s">
        <v>83</v>
      </c>
      <c r="H89" s="0" t="s">
        <v>84</v>
      </c>
      <c r="I89" s="0" t="s">
        <v>85</v>
      </c>
      <c r="J89" s="0" t="s">
        <v>89</v>
      </c>
    </row>
    <row r="90" customFormat="false" ht="30" hidden="false" customHeight="true" outlineLevel="0" collapsed="false">
      <c r="A90" s="15" t="s">
        <v>412</v>
      </c>
      <c r="B90" s="16" t="s">
        <v>292</v>
      </c>
      <c r="C90" s="15" t="s">
        <v>107</v>
      </c>
      <c r="D90" s="15" t="s">
        <v>413</v>
      </c>
      <c r="E90" s="15" t="s">
        <v>110</v>
      </c>
      <c r="F90" s="15" t="s">
        <v>111</v>
      </c>
      <c r="G90" s="15" t="s">
        <v>294</v>
      </c>
      <c r="H90" s="15" t="s">
        <v>114</v>
      </c>
      <c r="I90" s="15" t="s">
        <v>115</v>
      </c>
      <c r="J90" s="15" t="s">
        <v>295</v>
      </c>
    </row>
    <row r="91" customFormat="false" ht="45.75" hidden="false" customHeight="true" outlineLevel="0" collapsed="false">
      <c r="A91" s="14" t="s">
        <v>414</v>
      </c>
      <c r="B91" s="18" t="s">
        <v>415</v>
      </c>
      <c r="C91" s="14" t="s">
        <v>416</v>
      </c>
      <c r="D91" s="14" t="s">
        <v>417</v>
      </c>
      <c r="E91" s="27" t="n">
        <v>39.99</v>
      </c>
      <c r="F91" s="27"/>
      <c r="G91" s="21" t="n">
        <v>4.6</v>
      </c>
      <c r="H91" s="14" t="n">
        <v>438</v>
      </c>
      <c r="I91" s="14" t="s">
        <v>418</v>
      </c>
      <c r="J91" s="14" t="s">
        <v>419</v>
      </c>
    </row>
    <row r="92" customFormat="false" ht="45.75" hidden="false" customHeight="true" outlineLevel="0" collapsed="false">
      <c r="A92" s="14" t="s">
        <v>420</v>
      </c>
      <c r="B92" s="18" t="s">
        <v>421</v>
      </c>
      <c r="C92" s="14" t="s">
        <v>422</v>
      </c>
      <c r="D92" s="14" t="s">
        <v>423</v>
      </c>
      <c r="E92" s="27" t="n">
        <v>7.99</v>
      </c>
      <c r="F92" s="27"/>
      <c r="G92" s="21" t="n">
        <v>4.6</v>
      </c>
      <c r="H92" s="14" t="n">
        <v>1395</v>
      </c>
      <c r="I92" s="14" t="s">
        <v>424</v>
      </c>
      <c r="J92" s="14" t="s">
        <v>425</v>
      </c>
    </row>
    <row r="93" customFormat="false" ht="45.75" hidden="false" customHeight="true" outlineLevel="0" collapsed="false">
      <c r="A93" s="14" t="s">
        <v>426</v>
      </c>
      <c r="B93" s="18" t="s">
        <v>427</v>
      </c>
      <c r="C93" s="14" t="s">
        <v>428</v>
      </c>
      <c r="D93" s="14" t="s">
        <v>429</v>
      </c>
      <c r="E93" s="27" t="n">
        <v>12.49</v>
      </c>
      <c r="F93" s="27"/>
      <c r="G93" s="21" t="n">
        <v>4.5</v>
      </c>
      <c r="H93" s="14" t="n">
        <v>1280</v>
      </c>
      <c r="I93" s="14" t="s">
        <v>430</v>
      </c>
      <c r="J93" s="14" t="s">
        <v>431</v>
      </c>
    </row>
    <row r="95" customFormat="false" ht="15" hidden="false" customHeight="false" outlineLevel="0" collapsed="false">
      <c r="A95" s="25" t="s">
        <v>432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AN95" s="0" t="s">
        <v>433</v>
      </c>
    </row>
    <row r="96" customFormat="false" ht="15" hidden="true" customHeight="false" outlineLevel="0" collapsed="false">
      <c r="A96" s="0" t="s">
        <v>434</v>
      </c>
      <c r="B96" s="0" t="s">
        <v>435</v>
      </c>
    </row>
    <row r="97" customFormat="false" ht="30" hidden="false" customHeight="true" outlineLevel="0" collapsed="false">
      <c r="A97" s="15" t="s">
        <v>436</v>
      </c>
      <c r="B97" s="15" t="s">
        <v>437</v>
      </c>
    </row>
    <row r="98" customFormat="false" ht="45.75" hidden="false" customHeight="true" outlineLevel="0" collapsed="false">
      <c r="A98" s="14" t="s">
        <v>438</v>
      </c>
      <c r="B98" s="14" t="s">
        <v>439</v>
      </c>
    </row>
    <row r="99" customFormat="false" ht="45.75" hidden="false" customHeight="true" outlineLevel="0" collapsed="false">
      <c r="A99" s="14" t="s">
        <v>440</v>
      </c>
      <c r="B99" s="14" t="s">
        <v>441</v>
      </c>
    </row>
    <row r="100" customFormat="false" ht="45.75" hidden="false" customHeight="true" outlineLevel="0" collapsed="false">
      <c r="A100" s="14" t="s">
        <v>442</v>
      </c>
      <c r="B100" s="14" t="s">
        <v>443</v>
      </c>
    </row>
    <row r="101" customFormat="false" ht="21.75" hidden="false" customHeight="true" outlineLevel="0" collapsed="false">
      <c r="A101" s="14" t="s">
        <v>444</v>
      </c>
      <c r="B101" s="14" t="s">
        <v>445</v>
      </c>
    </row>
    <row r="102" customFormat="false" ht="45.75" hidden="false" customHeight="true" outlineLevel="0" collapsed="false">
      <c r="A102" s="14" t="s">
        <v>446</v>
      </c>
      <c r="B102" s="14" t="s">
        <v>447</v>
      </c>
    </row>
    <row r="103" customFormat="false" ht="45.75" hidden="false" customHeight="true" outlineLevel="0" collapsed="false">
      <c r="A103" s="14" t="s">
        <v>448</v>
      </c>
      <c r="B103" s="14" t="s">
        <v>449</v>
      </c>
    </row>
  </sheetData>
  <mergeCells count="18">
    <mergeCell ref="A2:J2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30"/>
    <col collapsed="false" customWidth="true" hidden="false" outlineLevel="0" max="4" min="4" style="1" width="16"/>
    <col collapsed="false" customWidth="true" hidden="false" outlineLevel="0" max="5" min="5" style="1" width="42"/>
    <col collapsed="false" customWidth="true" hidden="false" outlineLevel="0" max="6" min="6" style="1" width="40"/>
    <col collapsed="false" customWidth="true" hidden="false" outlineLevel="0" max="8" min="7" style="1" width="11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1" min="11" style="1" width="9"/>
    <col collapsed="false" customWidth="true" hidden="false" outlineLevel="0" max="12" min="12" style="1" width="26"/>
    <col collapsed="false" customWidth="true" hidden="false" outlineLevel="0" max="13" min="13" style="1" width="18"/>
    <col collapsed="false" customWidth="true" hidden="false" outlineLevel="0" max="15" min="14" style="1" width="34"/>
    <col collapsed="false" customWidth="true" hidden="false" outlineLevel="0" max="16" min="16" style="1" width="16"/>
    <col collapsed="false" customWidth="true" hidden="false" outlineLevel="0" max="17" min="17" style="1" width="22"/>
    <col collapsed="false" customWidth="true" hidden="false" outlineLevel="0" max="18" min="18" style="1" width="11"/>
    <col collapsed="false" customWidth="true" hidden="false" outlineLevel="0" max="19" min="19" style="1" width="26"/>
  </cols>
  <sheetData>
    <row r="1" customFormat="false" ht="18" hidden="false" customHeight="true" outlineLevel="0" collapsed="false">
      <c r="A1" s="9" t="s">
        <v>450</v>
      </c>
    </row>
    <row r="2" customFormat="false" ht="15" hidden="false" customHeight="true" outlineLevel="0" collapsed="false">
      <c r="A2" s="5" t="s">
        <v>451</v>
      </c>
    </row>
    <row r="3" customFormat="false" ht="15" hidden="false" customHeight="true" outlineLevel="0" collapsed="false">
      <c r="B3" s="11" t="s">
        <v>452</v>
      </c>
    </row>
    <row r="4" customFormat="false" ht="15" hidden="false" customHeight="true" outlineLevel="0" collapsed="false">
      <c r="A4" s="28" t="s">
        <v>453</v>
      </c>
      <c r="B4" s="29" t="s">
        <v>454</v>
      </c>
    </row>
    <row r="5" customFormat="false" ht="15" hidden="false" customHeight="true" outlineLevel="0" collapsed="false">
      <c r="A5" s="28" t="s">
        <v>455</v>
      </c>
      <c r="B5" s="29" t="s">
        <v>456</v>
      </c>
    </row>
    <row r="6" customFormat="false" ht="15" hidden="false" customHeight="true" outlineLevel="0" collapsed="false">
      <c r="A6" s="28" t="s">
        <v>457</v>
      </c>
      <c r="B6" s="29" t="s">
        <v>458</v>
      </c>
    </row>
    <row r="7" customFormat="false" ht="15" hidden="false" customHeight="true" outlineLevel="0" collapsed="false">
      <c r="A7" s="28" t="s">
        <v>459</v>
      </c>
      <c r="B7" s="29" t="s">
        <v>460</v>
      </c>
    </row>
    <row r="8" customFormat="false" ht="15" hidden="false" customHeight="true" outlineLevel="0" collapsed="false">
      <c r="A8" s="28" t="s">
        <v>461</v>
      </c>
      <c r="B8" s="29" t="s">
        <v>462</v>
      </c>
    </row>
    <row r="9" customFormat="false" ht="26.25" hidden="false" customHeight="true" outlineLevel="0" collapsed="false">
      <c r="A9" s="28" t="s">
        <v>463</v>
      </c>
      <c r="B9" s="29" t="s">
        <v>464</v>
      </c>
    </row>
    <row r="11" customFormat="false" ht="36" hidden="false" customHeight="true" outlineLevel="0" collapsed="false">
      <c r="A11" s="15" t="s">
        <v>103</v>
      </c>
      <c r="B11" s="15" t="s">
        <v>452</v>
      </c>
      <c r="C11" s="15" t="s">
        <v>106</v>
      </c>
      <c r="D11" s="15" t="s">
        <v>465</v>
      </c>
      <c r="E11" s="15" t="s">
        <v>293</v>
      </c>
      <c r="F11" s="15" t="s">
        <v>118</v>
      </c>
      <c r="G11" s="15" t="s">
        <v>110</v>
      </c>
      <c r="H11" s="15" t="s">
        <v>111</v>
      </c>
      <c r="I11" s="15" t="s">
        <v>112</v>
      </c>
      <c r="J11" s="15" t="s">
        <v>116</v>
      </c>
      <c r="K11" s="15" t="s">
        <v>466</v>
      </c>
      <c r="L11" s="15" t="s">
        <v>467</v>
      </c>
      <c r="M11" s="15" t="s">
        <v>130</v>
      </c>
      <c r="N11" s="15" t="s">
        <v>468</v>
      </c>
      <c r="O11" s="15" t="s">
        <v>119</v>
      </c>
      <c r="P11" s="15" t="s">
        <v>469</v>
      </c>
      <c r="Q11" s="15" t="s">
        <v>131</v>
      </c>
      <c r="R11" s="15" t="s">
        <v>132</v>
      </c>
      <c r="S11" s="15" t="s">
        <v>133</v>
      </c>
    </row>
    <row r="12" customFormat="false" ht="57.75" hidden="false" customHeight="true" outlineLevel="0" collapsed="false">
      <c r="A12" s="17" t="n">
        <f aca="false">ROW()-11</f>
        <v>1</v>
      </c>
      <c r="B12" s="29" t="s">
        <v>454</v>
      </c>
      <c r="C12" s="29" t="s">
        <v>470</v>
      </c>
      <c r="D12" s="29" t="s">
        <v>471</v>
      </c>
      <c r="E12" s="29" t="s">
        <v>472</v>
      </c>
      <c r="F12" s="29" t="s">
        <v>473</v>
      </c>
      <c r="G12" s="30" t="n">
        <v>129</v>
      </c>
      <c r="H12" s="30" t="n">
        <v>259</v>
      </c>
      <c r="I12" s="20" t="n">
        <f aca="false">IF(AND(ISNUMBER(G12),ISNUMBER(H12),H12&gt;G12),1-G12/H12,"")</f>
        <v>0.501930501930502</v>
      </c>
      <c r="J12" s="29" t="s">
        <v>474</v>
      </c>
      <c r="K12" s="29" t="s">
        <v>134</v>
      </c>
      <c r="L12" s="29" t="s">
        <v>475</v>
      </c>
      <c r="M12" s="22" t="str">
        <f aca="false">IF(L12="","",HYPERLINK("https://www.amazon.fr/s?k="&amp;SUBSTITUTE(TRIM(L12)," ","+")&amp;IF('Mode d''emploi'!$B$3&lt;&gt;"","&amp;tag="&amp;'Mode d''emploi'!$B$3,""),"Chercher sur Amazon"))</f>
        <v>Chercher sur Amazon</v>
      </c>
      <c r="N12" s="29"/>
      <c r="O12" s="29"/>
      <c r="P12" s="29"/>
      <c r="Q12" s="22" t="str">
        <f aca="false">IF(N12&lt;&gt;"",HYPERLINK(N12,"Lien produit"),IF(L12="","",HYPERLINK("https://www.amazon.fr/s?k="&amp;SUBSTITUTE(TRIM(L12)," ","+")&amp;IF('Mode d''emploi'!$B$3&lt;&gt;"","&amp;tag="&amp;'Mode d''emploi'!$B$3,""),"Recherche + tag")))</f>
        <v>Recherche + tag</v>
      </c>
      <c r="R12" s="29" t="s">
        <v>476</v>
      </c>
      <c r="S12" s="29"/>
    </row>
    <row r="13" customFormat="false" ht="57.75" hidden="false" customHeight="true" outlineLevel="0" collapsed="false">
      <c r="A13" s="17" t="n">
        <f aca="false">ROW()-11</f>
        <v>2</v>
      </c>
      <c r="B13" s="29" t="s">
        <v>454</v>
      </c>
      <c r="C13" s="29" t="s">
        <v>477</v>
      </c>
      <c r="D13" s="29" t="s">
        <v>478</v>
      </c>
      <c r="E13" s="29" t="s">
        <v>479</v>
      </c>
      <c r="F13" s="29" t="s">
        <v>480</v>
      </c>
      <c r="G13" s="30" t="n">
        <v>69</v>
      </c>
      <c r="H13" s="30" t="n">
        <v>129</v>
      </c>
      <c r="I13" s="20" t="n">
        <f aca="false">IF(AND(ISNUMBER(G13),ISNUMBER(H13),H13&gt;G13),1-G13/H13,"")</f>
        <v>0.465116279069768</v>
      </c>
      <c r="J13" s="29" t="s">
        <v>481</v>
      </c>
      <c r="K13" s="29" t="s">
        <v>134</v>
      </c>
      <c r="L13" s="29" t="s">
        <v>482</v>
      </c>
      <c r="M13" s="22" t="str">
        <f aca="false">IF(L13="","",HYPERLINK("https://www.amazon.fr/s?k="&amp;SUBSTITUTE(TRIM(L13)," ","+")&amp;IF('Mode d''emploi'!$B$3&lt;&gt;"","&amp;tag="&amp;'Mode d''emploi'!$B$3,""),"Chercher sur Amazon"))</f>
        <v>Chercher sur Amazon</v>
      </c>
      <c r="N13" s="29"/>
      <c r="O13" s="29"/>
      <c r="P13" s="29"/>
      <c r="Q13" s="22" t="str">
        <f aca="false">IF(N13&lt;&gt;"",HYPERLINK(N13,"Lien produit"),IF(L13="","",HYPERLINK("https://www.amazon.fr/s?k="&amp;SUBSTITUTE(TRIM(L13)," ","+")&amp;IF('Mode d''emploi'!$B$3&lt;&gt;"","&amp;tag="&amp;'Mode d''emploi'!$B$3,""),"Recherche + tag")))</f>
        <v>Recherche + tag</v>
      </c>
      <c r="R13" s="29" t="s">
        <v>476</v>
      </c>
      <c r="S13" s="29"/>
    </row>
    <row r="14" customFormat="false" ht="57.75" hidden="false" customHeight="true" outlineLevel="0" collapsed="false">
      <c r="A14" s="17" t="n">
        <f aca="false">ROW()-11</f>
        <v>3</v>
      </c>
      <c r="B14" s="29" t="s">
        <v>454</v>
      </c>
      <c r="C14" s="29" t="s">
        <v>483</v>
      </c>
      <c r="D14" s="29" t="s">
        <v>484</v>
      </c>
      <c r="E14" s="29" t="s">
        <v>485</v>
      </c>
      <c r="F14" s="29" t="s">
        <v>486</v>
      </c>
      <c r="G14" s="30" t="n">
        <v>59</v>
      </c>
      <c r="H14" s="30" t="n">
        <v>99</v>
      </c>
      <c r="I14" s="20" t="n">
        <f aca="false">IF(AND(ISNUMBER(G14),ISNUMBER(H14),H14&gt;G14),1-G14/H14,"")</f>
        <v>0.404040404040404</v>
      </c>
      <c r="J14" s="29" t="s">
        <v>481</v>
      </c>
      <c r="K14" s="29" t="s">
        <v>164</v>
      </c>
      <c r="L14" s="29" t="s">
        <v>487</v>
      </c>
      <c r="M14" s="22" t="str">
        <f aca="false">IF(L14="","",HYPERLINK("https://www.amazon.fr/s?k="&amp;SUBSTITUTE(TRIM(L14)," ","+")&amp;IF('Mode d''emploi'!$B$3&lt;&gt;"","&amp;tag="&amp;'Mode d''emploi'!$B$3,""),"Chercher sur Amazon"))</f>
        <v>Chercher sur Amazon</v>
      </c>
      <c r="N14" s="29"/>
      <c r="O14" s="29"/>
      <c r="P14" s="29"/>
      <c r="Q14" s="22" t="str">
        <f aca="false">IF(N14&lt;&gt;"",HYPERLINK(N14,"Lien produit"),IF(L14="","",HYPERLINK("https://www.amazon.fr/s?k="&amp;SUBSTITUTE(TRIM(L14)," ","+")&amp;IF('Mode d''emploi'!$B$3&lt;&gt;"","&amp;tag="&amp;'Mode d''emploi'!$B$3,""),"Recherche + tag")))</f>
        <v>Recherche + tag</v>
      </c>
      <c r="R14" s="29" t="s">
        <v>476</v>
      </c>
      <c r="S14" s="29"/>
    </row>
    <row r="15" customFormat="false" ht="57.75" hidden="false" customHeight="true" outlineLevel="0" collapsed="false">
      <c r="A15" s="17" t="n">
        <f aca="false">ROW()-11</f>
        <v>4</v>
      </c>
      <c r="B15" s="29" t="s">
        <v>454</v>
      </c>
      <c r="C15" s="29" t="s">
        <v>488</v>
      </c>
      <c r="D15" s="29" t="s">
        <v>484</v>
      </c>
      <c r="E15" s="29" t="s">
        <v>489</v>
      </c>
      <c r="F15" s="29" t="s">
        <v>490</v>
      </c>
      <c r="G15" s="30" t="n">
        <v>149</v>
      </c>
      <c r="H15" s="30" t="n">
        <v>279</v>
      </c>
      <c r="I15" s="20" t="n">
        <f aca="false">IF(AND(ISNUMBER(G15),ISNUMBER(H15),H15&gt;G15),1-G15/H15,"")</f>
        <v>0.46594982078853</v>
      </c>
      <c r="J15" s="29" t="s">
        <v>491</v>
      </c>
      <c r="K15" s="29" t="s">
        <v>164</v>
      </c>
      <c r="L15" s="29" t="s">
        <v>492</v>
      </c>
      <c r="M15" s="22" t="str">
        <f aca="false">IF(L15="","",HYPERLINK("https://www.amazon.fr/s?k="&amp;SUBSTITUTE(TRIM(L15)," ","+")&amp;IF('Mode d''emploi'!$B$3&lt;&gt;"","&amp;tag="&amp;'Mode d''emploi'!$B$3,""),"Chercher sur Amazon"))</f>
        <v>Chercher sur Amazon</v>
      </c>
      <c r="N15" s="29"/>
      <c r="O15" s="29"/>
      <c r="P15" s="29"/>
      <c r="Q15" s="22" t="str">
        <f aca="false">IF(N15&lt;&gt;"",HYPERLINK(N15,"Lien produit"),IF(L15="","",HYPERLINK("https://www.amazon.fr/s?k="&amp;SUBSTITUTE(TRIM(L15)," ","+")&amp;IF('Mode d''emploi'!$B$3&lt;&gt;"","&amp;tag="&amp;'Mode d''emploi'!$B$3,""),"Recherche + tag")))</f>
        <v>Recherche + tag</v>
      </c>
      <c r="R15" s="29" t="s">
        <v>476</v>
      </c>
      <c r="S15" s="29"/>
    </row>
    <row r="16" customFormat="false" ht="57.75" hidden="false" customHeight="true" outlineLevel="0" collapsed="false">
      <c r="A16" s="17" t="n">
        <f aca="false">ROW()-11</f>
        <v>5</v>
      </c>
      <c r="B16" s="29" t="s">
        <v>454</v>
      </c>
      <c r="C16" s="29" t="s">
        <v>493</v>
      </c>
      <c r="D16" s="29" t="s">
        <v>494</v>
      </c>
      <c r="E16" s="29" t="s">
        <v>495</v>
      </c>
      <c r="F16" s="29" t="s">
        <v>496</v>
      </c>
      <c r="G16" s="30" t="n">
        <v>89</v>
      </c>
      <c r="H16" s="30" t="n">
        <v>169</v>
      </c>
      <c r="I16" s="20" t="n">
        <f aca="false">IF(AND(ISNUMBER(G16),ISNUMBER(H16),H16&gt;G16),1-G16/H16,"")</f>
        <v>0.473372781065089</v>
      </c>
      <c r="J16" s="29" t="s">
        <v>481</v>
      </c>
      <c r="K16" s="29" t="s">
        <v>164</v>
      </c>
      <c r="L16" s="29" t="s">
        <v>497</v>
      </c>
      <c r="M16" s="22" t="str">
        <f aca="false">IF(L16="","",HYPERLINK("https://www.amazon.fr/s?k="&amp;SUBSTITUTE(TRIM(L16)," ","+")&amp;IF('Mode d''emploi'!$B$3&lt;&gt;"","&amp;tag="&amp;'Mode d''emploi'!$B$3,""),"Chercher sur Amazon"))</f>
        <v>Chercher sur Amazon</v>
      </c>
      <c r="N16" s="29"/>
      <c r="O16" s="29"/>
      <c r="P16" s="29"/>
      <c r="Q16" s="22" t="str">
        <f aca="false">IF(N16&lt;&gt;"",HYPERLINK(N16,"Lien produit"),IF(L16="","",HYPERLINK("https://www.amazon.fr/s?k="&amp;SUBSTITUTE(TRIM(L16)," ","+")&amp;IF('Mode d''emploi'!$B$3&lt;&gt;"","&amp;tag="&amp;'Mode d''emploi'!$B$3,""),"Recherche + tag")))</f>
        <v>Recherche + tag</v>
      </c>
      <c r="R16" s="29" t="s">
        <v>476</v>
      </c>
      <c r="S16" s="29"/>
    </row>
    <row r="17" customFormat="false" ht="57.75" hidden="false" customHeight="true" outlineLevel="0" collapsed="false">
      <c r="A17" s="17" t="n">
        <f aca="false">ROW()-11</f>
        <v>6</v>
      </c>
      <c r="B17" s="29" t="s">
        <v>454</v>
      </c>
      <c r="C17" s="29" t="s">
        <v>498</v>
      </c>
      <c r="D17" s="29" t="s">
        <v>494</v>
      </c>
      <c r="E17" s="29" t="s">
        <v>499</v>
      </c>
      <c r="F17" s="29" t="s">
        <v>500</v>
      </c>
      <c r="G17" s="30" t="n">
        <v>29</v>
      </c>
      <c r="H17" s="30" t="n">
        <v>49</v>
      </c>
      <c r="I17" s="20" t="n">
        <f aca="false">IF(AND(ISNUMBER(G17),ISNUMBER(H17),H17&gt;G17),1-G17/H17,"")</f>
        <v>0.408163265306122</v>
      </c>
      <c r="J17" s="29" t="s">
        <v>481</v>
      </c>
      <c r="K17" s="29" t="s">
        <v>134</v>
      </c>
      <c r="L17" s="29" t="s">
        <v>501</v>
      </c>
      <c r="M17" s="22" t="str">
        <f aca="false">IF(L17="","",HYPERLINK("https://www.amazon.fr/s?k="&amp;SUBSTITUTE(TRIM(L17)," ","+")&amp;IF('Mode d''emploi'!$B$3&lt;&gt;"","&amp;tag="&amp;'Mode d''emploi'!$B$3,""),"Chercher sur Amazon"))</f>
        <v>Chercher sur Amazon</v>
      </c>
      <c r="N17" s="29"/>
      <c r="O17" s="29"/>
      <c r="P17" s="29"/>
      <c r="Q17" s="22" t="str">
        <f aca="false">IF(N17&lt;&gt;"",HYPERLINK(N17,"Lien produit"),IF(L17="","",HYPERLINK("https://www.amazon.fr/s?k="&amp;SUBSTITUTE(TRIM(L17)," ","+")&amp;IF('Mode d''emploi'!$B$3&lt;&gt;"","&amp;tag="&amp;'Mode d''emploi'!$B$3,""),"Recherche + tag")))</f>
        <v>Recherche + tag</v>
      </c>
      <c r="R17" s="29" t="s">
        <v>476</v>
      </c>
      <c r="S17" s="29"/>
    </row>
    <row r="18" customFormat="false" ht="57.75" hidden="false" customHeight="true" outlineLevel="0" collapsed="false">
      <c r="A18" s="17" t="n">
        <f aca="false">ROW()-11</f>
        <v>7</v>
      </c>
      <c r="B18" s="29" t="s">
        <v>454</v>
      </c>
      <c r="C18" s="29" t="s">
        <v>502</v>
      </c>
      <c r="D18" s="29" t="s">
        <v>494</v>
      </c>
      <c r="E18" s="29" t="s">
        <v>503</v>
      </c>
      <c r="F18" s="29" t="s">
        <v>504</v>
      </c>
      <c r="G18" s="30" t="n">
        <v>32</v>
      </c>
      <c r="H18" s="30" t="n">
        <v>49</v>
      </c>
      <c r="I18" s="20" t="n">
        <f aca="false">IF(AND(ISNUMBER(G18),ISNUMBER(H18),H18&gt;G18),1-G18/H18,"")</f>
        <v>0.346938775510204</v>
      </c>
      <c r="J18" s="29" t="s">
        <v>481</v>
      </c>
      <c r="K18" s="29" t="s">
        <v>164</v>
      </c>
      <c r="L18" s="29" t="s">
        <v>505</v>
      </c>
      <c r="M18" s="22" t="str">
        <f aca="false">IF(L18="","",HYPERLINK("https://www.amazon.fr/s?k="&amp;SUBSTITUTE(TRIM(L18)," ","+")&amp;IF('Mode d''emploi'!$B$3&lt;&gt;"","&amp;tag="&amp;'Mode d''emploi'!$B$3,""),"Chercher sur Amazon"))</f>
        <v>Chercher sur Amazon</v>
      </c>
      <c r="N18" s="29"/>
      <c r="O18" s="29"/>
      <c r="P18" s="29"/>
      <c r="Q18" s="22" t="str">
        <f aca="false">IF(N18&lt;&gt;"",HYPERLINK(N18,"Lien produit"),IF(L18="","",HYPERLINK("https://www.amazon.fr/s?k="&amp;SUBSTITUTE(TRIM(L18)," ","+")&amp;IF('Mode d''emploi'!$B$3&lt;&gt;"","&amp;tag="&amp;'Mode d''emploi'!$B$3,""),"Recherche + tag")))</f>
        <v>Recherche + tag</v>
      </c>
      <c r="R18" s="29" t="s">
        <v>476</v>
      </c>
      <c r="S18" s="29"/>
    </row>
    <row r="19" customFormat="false" ht="57.75" hidden="false" customHeight="true" outlineLevel="0" collapsed="false">
      <c r="A19" s="17" t="n">
        <f aca="false">ROW()-11</f>
        <v>8</v>
      </c>
      <c r="B19" s="29" t="s">
        <v>454</v>
      </c>
      <c r="C19" s="29" t="s">
        <v>506</v>
      </c>
      <c r="D19" s="29" t="s">
        <v>471</v>
      </c>
      <c r="E19" s="29" t="s">
        <v>507</v>
      </c>
      <c r="F19" s="29" t="s">
        <v>508</v>
      </c>
      <c r="G19" s="30" t="n">
        <v>29</v>
      </c>
      <c r="H19" s="30" t="n">
        <v>45</v>
      </c>
      <c r="I19" s="20" t="n">
        <f aca="false">IF(AND(ISNUMBER(G19),ISNUMBER(H19),H19&gt;G19),1-G19/H19,"")</f>
        <v>0.355555555555556</v>
      </c>
      <c r="J19" s="29" t="s">
        <v>509</v>
      </c>
      <c r="K19" s="29" t="s">
        <v>164</v>
      </c>
      <c r="L19" s="29" t="s">
        <v>510</v>
      </c>
      <c r="M19" s="22" t="str">
        <f aca="false">IF(L19="","",HYPERLINK("https://www.amazon.fr/s?k="&amp;SUBSTITUTE(TRIM(L19)," ","+")&amp;IF('Mode d''emploi'!$B$3&lt;&gt;"","&amp;tag="&amp;'Mode d''emploi'!$B$3,""),"Chercher sur Amazon"))</f>
        <v>Chercher sur Amazon</v>
      </c>
      <c r="N19" s="29"/>
      <c r="O19" s="29"/>
      <c r="P19" s="29"/>
      <c r="Q19" s="22" t="str">
        <f aca="false">IF(N19&lt;&gt;"",HYPERLINK(N19,"Lien produit"),IF(L19="","",HYPERLINK("https://www.amazon.fr/s?k="&amp;SUBSTITUTE(TRIM(L19)," ","+")&amp;IF('Mode d''emploi'!$B$3&lt;&gt;"","&amp;tag="&amp;'Mode d''emploi'!$B$3,""),"Recherche + tag")))</f>
        <v>Recherche + tag</v>
      </c>
      <c r="R19" s="29" t="s">
        <v>476</v>
      </c>
      <c r="S19" s="29"/>
    </row>
    <row r="21" customFormat="false" ht="15" hidden="false" customHeight="true" outlineLevel="0" collapsed="false">
      <c r="A21" s="5" t="s">
        <v>511</v>
      </c>
    </row>
  </sheetData>
  <autoFilter ref="A11:S19"/>
  <conditionalFormatting sqref="A12:S19">
    <cfRule type="expression" priority="2" aboveAverage="0" equalAverage="0" bottom="0" percent="0" rank="0" text="" dxfId="11">
      <formula>$R12="Validé"</formula>
    </cfRule>
  </conditionalFormatting>
  <dataValidations count="4">
    <dataValidation allowBlank="true" errorStyle="stop" operator="greaterThanOrEqual" showDropDown="false" showErrorMessage="false" showInputMessage="false" sqref="G12:H19" type="decimal">
      <formula1>0</formula1>
      <formula2>0</formula2>
    </dataValidation>
    <dataValidation allowBlank="true" errorStyle="stop" operator="between" showDropDown="false" showErrorMessage="false" showInputMessage="false" sqref="J12:J19" type="list">
      <formula1>Listes!$A$2:$A$7</formula1>
      <formula2>0</formula2>
    </dataValidation>
    <dataValidation allowBlank="true" errorStyle="stop" operator="between" showDropDown="false" showErrorMessage="false" showInputMessage="false" sqref="K12:K19" type="list">
      <formula1>Listes!$B$2:$B$3</formula1>
      <formula2>0</formula2>
    </dataValidation>
    <dataValidation allowBlank="true" errorStyle="stop" operator="between" showDropDown="false" showErrorMessage="false" showInputMessage="false" sqref="R12:R19" type="list">
      <formula1>Listes!$C$2:$C$4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26"/>
    <col collapsed="false" customWidth="true" hidden="false" outlineLevel="0" max="7" min="6" style="1" width="34"/>
  </cols>
  <sheetData>
    <row r="1" customFormat="false" ht="18" hidden="false" customHeight="true" outlineLevel="0" collapsed="false">
      <c r="A1" s="9" t="s">
        <v>512</v>
      </c>
    </row>
    <row r="2" customFormat="false" ht="15" hidden="false" customHeight="true" outlineLevel="0" collapsed="false">
      <c r="A2" s="5" t="s">
        <v>513</v>
      </c>
    </row>
    <row r="4" customFormat="false" ht="15" hidden="false" customHeight="true" outlineLevel="0" collapsed="false">
      <c r="A4" s="31" t="s">
        <v>251</v>
      </c>
      <c r="B4" s="32"/>
      <c r="C4" s="32"/>
      <c r="D4" s="32"/>
      <c r="E4" s="32"/>
      <c r="F4" s="32"/>
      <c r="G4" s="32"/>
    </row>
    <row r="5" customFormat="false" ht="15" hidden="false" customHeight="true" outlineLevel="0" collapsed="false">
      <c r="A5" s="13" t="s">
        <v>453</v>
      </c>
      <c r="B5" s="29" t="s">
        <v>514</v>
      </c>
      <c r="C5" s="29"/>
      <c r="D5" s="29"/>
      <c r="E5" s="29"/>
      <c r="F5" s="29"/>
    </row>
    <row r="6" customFormat="false" ht="15" hidden="false" customHeight="true" outlineLevel="0" collapsed="false">
      <c r="A6" s="13" t="s">
        <v>455</v>
      </c>
      <c r="B6" s="29" t="s">
        <v>515</v>
      </c>
      <c r="C6" s="29"/>
      <c r="D6" s="29"/>
      <c r="E6" s="29"/>
      <c r="F6" s="29"/>
    </row>
    <row r="7" customFormat="false" ht="15" hidden="false" customHeight="true" outlineLevel="0" collapsed="false">
      <c r="A7" s="13" t="s">
        <v>459</v>
      </c>
      <c r="B7" s="29" t="s">
        <v>516</v>
      </c>
      <c r="C7" s="29"/>
      <c r="D7" s="29"/>
      <c r="E7" s="29"/>
      <c r="F7" s="29"/>
    </row>
    <row r="8" customFormat="false" ht="26.25" hidden="false" customHeight="true" outlineLevel="0" collapsed="false">
      <c r="A8" s="13" t="s">
        <v>461</v>
      </c>
      <c r="B8" s="29" t="s">
        <v>462</v>
      </c>
      <c r="C8" s="29"/>
      <c r="D8" s="29"/>
      <c r="E8" s="29"/>
      <c r="F8" s="29"/>
    </row>
    <row r="9" customFormat="false" ht="15" hidden="false" customHeight="true" outlineLevel="0" collapsed="false">
      <c r="A9" s="13" t="s">
        <v>463</v>
      </c>
      <c r="B9" s="29" t="s">
        <v>517</v>
      </c>
      <c r="C9" s="29"/>
      <c r="D9" s="29"/>
      <c r="E9" s="29"/>
      <c r="F9" s="29"/>
    </row>
    <row r="11" customFormat="false" ht="15" hidden="false" customHeight="true" outlineLevel="0" collapsed="false">
      <c r="A11" s="31" t="s">
        <v>518</v>
      </c>
      <c r="B11" s="32"/>
      <c r="C11" s="32"/>
      <c r="D11" s="32"/>
      <c r="E11" s="32"/>
      <c r="F11" s="32"/>
      <c r="G11" s="32"/>
    </row>
    <row r="12" customFormat="false" ht="15" hidden="false" customHeight="true" outlineLevel="0" collapsed="false">
      <c r="A12" s="13" t="s">
        <v>106</v>
      </c>
      <c r="B12" s="29" t="s">
        <v>519</v>
      </c>
      <c r="C12" s="29"/>
      <c r="D12" s="29"/>
      <c r="E12" s="29"/>
      <c r="F12" s="29"/>
    </row>
    <row r="13" customFormat="false" ht="15" hidden="false" customHeight="true" outlineLevel="0" collapsed="false">
      <c r="A13" s="13" t="s">
        <v>520</v>
      </c>
      <c r="B13" s="29" t="s">
        <v>521</v>
      </c>
      <c r="C13" s="29"/>
      <c r="D13" s="29"/>
      <c r="E13" s="29"/>
      <c r="F13" s="29"/>
    </row>
    <row r="14" customFormat="false" ht="15" hidden="false" customHeight="true" outlineLevel="0" collapsed="false">
      <c r="A14" s="13" t="s">
        <v>522</v>
      </c>
      <c r="B14" s="29" t="s">
        <v>523</v>
      </c>
      <c r="C14" s="29"/>
      <c r="D14" s="29"/>
      <c r="E14" s="29"/>
      <c r="F14" s="29"/>
    </row>
    <row r="15" customFormat="false" ht="15" hidden="false" customHeight="true" outlineLevel="0" collapsed="false">
      <c r="A15" s="13" t="s">
        <v>524</v>
      </c>
      <c r="B15" s="29" t="s">
        <v>525</v>
      </c>
      <c r="C15" s="29"/>
      <c r="D15" s="29"/>
      <c r="E15" s="29"/>
      <c r="F15" s="29"/>
    </row>
    <row r="16" customFormat="false" ht="15" hidden="false" customHeight="true" outlineLevel="0" collapsed="false">
      <c r="A16" s="13" t="s">
        <v>110</v>
      </c>
      <c r="B16" s="30" t="n">
        <v>59.9</v>
      </c>
      <c r="C16" s="30"/>
      <c r="D16" s="30"/>
      <c r="E16" s="30"/>
      <c r="F16" s="30"/>
    </row>
    <row r="17" customFormat="false" ht="15" hidden="false" customHeight="true" outlineLevel="0" collapsed="false">
      <c r="A17" s="13" t="s">
        <v>111</v>
      </c>
      <c r="B17" s="30" t="n">
        <v>99.9</v>
      </c>
      <c r="C17" s="30"/>
      <c r="D17" s="30"/>
      <c r="E17" s="30"/>
      <c r="F17" s="30"/>
    </row>
    <row r="18" customFormat="false" ht="15" hidden="false" customHeight="true" outlineLevel="0" collapsed="false">
      <c r="A18" s="13" t="s">
        <v>112</v>
      </c>
      <c r="B18" s="20" t="n">
        <f aca="false">IF(AND(ISNUMBER(B16),ISNUMBER(B17),B17&gt;B16),1-B16/B17,"")</f>
        <v>0.400400400400401</v>
      </c>
      <c r="C18" s="20"/>
      <c r="D18" s="20"/>
      <c r="E18" s="20"/>
      <c r="F18" s="20"/>
    </row>
    <row r="19" customFormat="false" ht="15" hidden="false" customHeight="true" outlineLevel="0" collapsed="false">
      <c r="A19" s="13" t="s">
        <v>467</v>
      </c>
      <c r="B19" s="29" t="s">
        <v>526</v>
      </c>
      <c r="C19" s="29"/>
      <c r="D19" s="29"/>
      <c r="E19" s="29"/>
      <c r="F19" s="29"/>
    </row>
    <row r="20" customFormat="false" ht="15" hidden="false" customHeight="true" outlineLevel="0" collapsed="false">
      <c r="A20" s="13" t="s">
        <v>130</v>
      </c>
      <c r="B20" s="33" t="str">
        <f aca="false">HYPERLINK("https://www.amazon.fr/s?k="&amp;SUBSTITUTE(TRIM(B19)," ","+")&amp;IF('Mode d''emploi'!$B$3&lt;&gt;"","&amp;tag="&amp;'Mode d''emploi'!$B$3,""),"Chercher sur Amazon")</f>
        <v>Chercher sur Amazon</v>
      </c>
      <c r="C20" s="33"/>
      <c r="D20" s="33"/>
      <c r="E20" s="33"/>
      <c r="F20" s="33"/>
    </row>
    <row r="21" customFormat="false" ht="26.25" hidden="false" customHeight="true" outlineLevel="0" collapsed="false">
      <c r="A21" s="13" t="s">
        <v>468</v>
      </c>
      <c r="B21" s="29"/>
      <c r="C21" s="29"/>
      <c r="D21" s="29"/>
      <c r="E21" s="29"/>
      <c r="F21" s="29"/>
    </row>
    <row r="22" customFormat="false" ht="15" hidden="false" customHeight="true" outlineLevel="0" collapsed="false">
      <c r="A22" s="13" t="s">
        <v>131</v>
      </c>
      <c r="B22" s="33" t="str">
        <f aca="false">IF(B21&lt;&gt;"",HYPERLINK(B21,"Lien produit"),HYPERLINK("https://www.amazon.fr/s?k="&amp;SUBSTITUTE(TRIM(B19)," ","+")&amp;IF('Mode d''emploi'!$B$3&lt;&gt;"","&amp;tag="&amp;'Mode d''emploi'!$B$3,""),"Recherche + tag"))</f>
        <v>Recherche + tag</v>
      </c>
      <c r="C22" s="33"/>
      <c r="D22" s="33"/>
      <c r="E22" s="33"/>
      <c r="F22" s="33"/>
    </row>
    <row r="23" customFormat="false" ht="15" hidden="false" customHeight="true" outlineLevel="0" collapsed="false">
      <c r="A23" s="13" t="s">
        <v>527</v>
      </c>
      <c r="B23" s="29"/>
      <c r="C23" s="29"/>
      <c r="D23" s="29"/>
      <c r="E23" s="29"/>
      <c r="F23" s="29"/>
    </row>
    <row r="25" customFormat="false" ht="15" hidden="false" customHeight="true" outlineLevel="0" collapsed="false">
      <c r="A25" s="31" t="s">
        <v>528</v>
      </c>
      <c r="B25" s="32"/>
      <c r="C25" s="32"/>
      <c r="D25" s="32"/>
      <c r="E25" s="32"/>
      <c r="F25" s="32"/>
      <c r="G25" s="32"/>
    </row>
    <row r="26" customFormat="false" ht="15" hidden="false" customHeight="true" outlineLevel="0" collapsed="false">
      <c r="A26" s="28" t="s">
        <v>529</v>
      </c>
      <c r="B26" s="28" t="s">
        <v>530</v>
      </c>
      <c r="F26" s="28" t="s">
        <v>469</v>
      </c>
    </row>
    <row r="27" customFormat="false" ht="49.5" hidden="false" customHeight="true" outlineLevel="0" collapsed="false">
      <c r="A27" s="34" t="s">
        <v>531</v>
      </c>
      <c r="B27" s="35"/>
      <c r="C27" s="35"/>
      <c r="D27" s="35"/>
      <c r="E27" s="35"/>
      <c r="F27" s="35"/>
    </row>
    <row r="28" customFormat="false" ht="49.5" hidden="false" customHeight="true" outlineLevel="0" collapsed="false">
      <c r="A28" s="34" t="s">
        <v>532</v>
      </c>
      <c r="B28" s="35"/>
      <c r="C28" s="35"/>
      <c r="D28" s="35"/>
      <c r="E28" s="35"/>
      <c r="F28" s="35"/>
    </row>
    <row r="29" customFormat="false" ht="49.5" hidden="false" customHeight="true" outlineLevel="0" collapsed="false">
      <c r="A29" s="34" t="s">
        <v>533</v>
      </c>
      <c r="B29" s="35"/>
      <c r="C29" s="35"/>
      <c r="D29" s="35"/>
      <c r="E29" s="35"/>
      <c r="F29" s="35"/>
    </row>
    <row r="30" customFormat="false" ht="49.5" hidden="false" customHeight="true" outlineLevel="0" collapsed="false">
      <c r="A30" s="34" t="s">
        <v>534</v>
      </c>
      <c r="B30" s="35"/>
      <c r="C30" s="35"/>
      <c r="D30" s="35"/>
      <c r="E30" s="35"/>
      <c r="F30" s="35"/>
    </row>
    <row r="31" customFormat="false" ht="49.5" hidden="false" customHeight="true" outlineLevel="0" collapsed="false">
      <c r="A31" s="34" t="s">
        <v>535</v>
      </c>
      <c r="B31" s="35"/>
      <c r="C31" s="35"/>
      <c r="D31" s="35"/>
      <c r="E31" s="35"/>
      <c r="F31" s="35"/>
    </row>
    <row r="32" customFormat="false" ht="49.5" hidden="false" customHeight="true" outlineLevel="0" collapsed="false">
      <c r="A32" s="34" t="s">
        <v>536</v>
      </c>
      <c r="B32" s="35"/>
      <c r="C32" s="35"/>
      <c r="D32" s="35"/>
      <c r="E32" s="35"/>
      <c r="F32" s="35"/>
    </row>
    <row r="34" customFormat="false" ht="15" hidden="false" customHeight="true" outlineLevel="0" collapsed="false">
      <c r="A34" s="31" t="s">
        <v>334</v>
      </c>
      <c r="B34" s="32"/>
      <c r="C34" s="32"/>
      <c r="D34" s="32"/>
      <c r="E34" s="32"/>
      <c r="F34" s="32"/>
      <c r="G34" s="32"/>
    </row>
    <row r="35" customFormat="false" ht="15" hidden="false" customHeight="true" outlineLevel="0" collapsed="false">
      <c r="A35" s="36" t="s">
        <v>537</v>
      </c>
      <c r="B35" s="29" t="s">
        <v>538</v>
      </c>
      <c r="C35" s="29"/>
      <c r="D35" s="29"/>
      <c r="E35" s="29"/>
      <c r="F35" s="29"/>
    </row>
    <row r="36" customFormat="false" ht="15" hidden="false" customHeight="true" outlineLevel="0" collapsed="false">
      <c r="A36" s="36" t="s">
        <v>539</v>
      </c>
      <c r="B36" s="29" t="s">
        <v>540</v>
      </c>
      <c r="C36" s="29"/>
      <c r="D36" s="29"/>
      <c r="E36" s="29"/>
      <c r="F36" s="29"/>
    </row>
    <row r="37" customFormat="false" ht="15" hidden="false" customHeight="true" outlineLevel="0" collapsed="false">
      <c r="A37" s="36" t="s">
        <v>541</v>
      </c>
      <c r="B37" s="29" t="s">
        <v>542</v>
      </c>
      <c r="C37" s="29"/>
      <c r="D37" s="29"/>
      <c r="E37" s="29"/>
      <c r="F37" s="29"/>
    </row>
    <row r="38" customFormat="false" ht="15" hidden="false" customHeight="true" outlineLevel="0" collapsed="false">
      <c r="A38" s="36" t="s">
        <v>543</v>
      </c>
      <c r="B38" s="29" t="s">
        <v>544</v>
      </c>
      <c r="C38" s="29"/>
      <c r="D38" s="29"/>
      <c r="E38" s="29"/>
      <c r="F38" s="29"/>
    </row>
    <row r="39" customFormat="false" ht="15" hidden="false" customHeight="true" outlineLevel="0" collapsed="false">
      <c r="A39" s="36" t="s">
        <v>545</v>
      </c>
      <c r="B39" s="29" t="s">
        <v>546</v>
      </c>
      <c r="C39" s="29"/>
      <c r="D39" s="29"/>
      <c r="E39" s="29"/>
      <c r="F39" s="29"/>
    </row>
    <row r="40" customFormat="false" ht="15" hidden="false" customHeight="true" outlineLevel="0" collapsed="false">
      <c r="A40" s="36" t="s">
        <v>547</v>
      </c>
      <c r="B40" s="29" t="s">
        <v>548</v>
      </c>
      <c r="C40" s="29"/>
      <c r="D40" s="29"/>
      <c r="E40" s="29"/>
      <c r="F40" s="29"/>
    </row>
    <row r="42" customFormat="false" ht="15" hidden="false" customHeight="true" outlineLevel="0" collapsed="false">
      <c r="A42" s="31" t="s">
        <v>352</v>
      </c>
      <c r="B42" s="32"/>
      <c r="C42" s="32"/>
      <c r="D42" s="32"/>
      <c r="E42" s="32"/>
      <c r="F42" s="32"/>
      <c r="G42" s="32"/>
    </row>
    <row r="43" customFormat="false" ht="15" hidden="false" customHeight="true" outlineLevel="0" collapsed="false">
      <c r="A43" s="36" t="s">
        <v>549</v>
      </c>
      <c r="B43" s="37" t="s">
        <v>550</v>
      </c>
      <c r="C43" s="37"/>
      <c r="D43" s="37"/>
      <c r="E43" s="37"/>
      <c r="F43" s="37"/>
    </row>
    <row r="44" customFormat="false" ht="15" hidden="false" customHeight="true" outlineLevel="0" collapsed="false">
      <c r="A44" s="36" t="s">
        <v>551</v>
      </c>
      <c r="B44" s="37" t="s">
        <v>552</v>
      </c>
      <c r="C44" s="37"/>
      <c r="D44" s="37"/>
      <c r="E44" s="37"/>
      <c r="F44" s="37"/>
    </row>
    <row r="45" customFormat="false" ht="15" hidden="false" customHeight="true" outlineLevel="0" collapsed="false">
      <c r="A45" s="36" t="s">
        <v>553</v>
      </c>
      <c r="B45" s="37" t="s">
        <v>554</v>
      </c>
      <c r="C45" s="37"/>
      <c r="D45" s="37"/>
      <c r="E45" s="37"/>
      <c r="F45" s="37"/>
    </row>
    <row r="47" customFormat="false" ht="15" hidden="false" customHeight="true" outlineLevel="0" collapsed="false">
      <c r="A47" s="31" t="s">
        <v>555</v>
      </c>
      <c r="B47" s="32"/>
      <c r="C47" s="32"/>
      <c r="D47" s="32"/>
      <c r="E47" s="32"/>
      <c r="F47" s="32"/>
      <c r="G47" s="32"/>
    </row>
    <row r="48" customFormat="false" ht="15" hidden="false" customHeight="true" outlineLevel="0" collapsed="false">
      <c r="A48" s="28" t="s">
        <v>556</v>
      </c>
      <c r="B48" s="28" t="s">
        <v>467</v>
      </c>
      <c r="C48" s="28" t="s">
        <v>557</v>
      </c>
      <c r="D48" s="28" t="s">
        <v>558</v>
      </c>
      <c r="E48" s="28" t="s">
        <v>130</v>
      </c>
      <c r="F48" s="28" t="s">
        <v>559</v>
      </c>
      <c r="G48" s="28" t="s">
        <v>131</v>
      </c>
    </row>
    <row r="49" customFormat="false" ht="15" hidden="false" customHeight="true" outlineLevel="0" collapsed="false">
      <c r="A49" s="29" t="s">
        <v>560</v>
      </c>
      <c r="B49" s="29" t="s">
        <v>561</v>
      </c>
      <c r="C49" s="30" t="n">
        <v>59.9</v>
      </c>
      <c r="D49" s="30" t="n">
        <v>99.9</v>
      </c>
      <c r="E49" s="38" t="str">
        <f aca="false">HYPERLINK("https://www.amazon.fr/s?k="&amp;SUBSTITUTE(TRIM(B49)," ","+")&amp;IF('Mode d''emploi'!$B$3&lt;&gt;"","&amp;tag="&amp;'Mode d''emploi'!$B$3,""),"Chercher sur Amazon")</f>
        <v>Chercher sur Amazon</v>
      </c>
      <c r="F49" s="35"/>
      <c r="G49" s="38" t="str">
        <f aca="false">IF(F49&lt;&gt;"",HYPERLINK(F49,"Lien produit"),HYPERLINK("https://www.amazon.fr/s?k="&amp;SUBSTITUTE(TRIM(B49)," ","+")&amp;IF('Mode d''emploi'!$B$3&lt;&gt;"","&amp;tag="&amp;'Mode d''emploi'!$B$3,""),"Recherche + tag"))</f>
        <v>Recherche + tag</v>
      </c>
    </row>
    <row r="50" customFormat="false" ht="15" hidden="false" customHeight="true" outlineLevel="0" collapsed="false">
      <c r="A50" s="29" t="s">
        <v>562</v>
      </c>
      <c r="B50" s="29" t="s">
        <v>563</v>
      </c>
      <c r="C50" s="30" t="n">
        <v>59.9</v>
      </c>
      <c r="D50" s="30" t="n">
        <v>99.9</v>
      </c>
      <c r="E50" s="38" t="str">
        <f aca="false">HYPERLINK("https://www.amazon.fr/s?k="&amp;SUBSTITUTE(TRIM(B50)," ","+")&amp;IF('Mode d''emploi'!$B$3&lt;&gt;"","&amp;tag="&amp;'Mode d''emploi'!$B$3,""),"Chercher sur Amazon")</f>
        <v>Chercher sur Amazon</v>
      </c>
      <c r="F50" s="35"/>
      <c r="G50" s="38" t="str">
        <f aca="false">IF(F50&lt;&gt;"",HYPERLINK(F50,"Lien produit"),HYPERLINK("https://www.amazon.fr/s?k="&amp;SUBSTITUTE(TRIM(B50)," ","+")&amp;IF('Mode d''emploi'!$B$3&lt;&gt;"","&amp;tag="&amp;'Mode d''emploi'!$B$3,""),"Recherche + tag"))</f>
        <v>Recherche + tag</v>
      </c>
    </row>
    <row r="51" customFormat="false" ht="15" hidden="false" customHeight="true" outlineLevel="0" collapsed="false">
      <c r="A51" s="29" t="s">
        <v>564</v>
      </c>
      <c r="B51" s="29" t="s">
        <v>565</v>
      </c>
      <c r="C51" s="30" t="n">
        <v>64.9</v>
      </c>
      <c r="D51" s="30" t="n">
        <v>99.9</v>
      </c>
      <c r="E51" s="38" t="str">
        <f aca="false">HYPERLINK("https://www.amazon.fr/s?k="&amp;SUBSTITUTE(TRIM(B51)," ","+")&amp;IF('Mode d''emploi'!$B$3&lt;&gt;"","&amp;tag="&amp;'Mode d''emploi'!$B$3,""),"Chercher sur Amazon")</f>
        <v>Chercher sur Amazon</v>
      </c>
      <c r="F51" s="35"/>
      <c r="G51" s="38" t="str">
        <f aca="false">IF(F51&lt;&gt;"",HYPERLINK(F51,"Lien produit"),HYPERLINK("https://www.amazon.fr/s?k="&amp;SUBSTITUTE(TRIM(B51)," ","+")&amp;IF('Mode d''emploi'!$B$3&lt;&gt;"","&amp;tag="&amp;'Mode d''emploi'!$B$3,""),"Recherche + tag"))</f>
        <v>Recherche + tag</v>
      </c>
    </row>
    <row r="53" customFormat="false" ht="15" hidden="false" customHeight="true" outlineLevel="0" collapsed="false">
      <c r="A53" s="31" t="s">
        <v>566</v>
      </c>
      <c r="B53" s="32"/>
      <c r="C53" s="32"/>
      <c r="D53" s="32"/>
      <c r="E53" s="32"/>
      <c r="F53" s="32"/>
      <c r="G53" s="32"/>
    </row>
    <row r="54" customFormat="false" ht="15" hidden="false" customHeight="true" outlineLevel="0" collapsed="false">
      <c r="A54" s="13" t="s">
        <v>567</v>
      </c>
      <c r="B54" s="29" t="s">
        <v>568</v>
      </c>
      <c r="C54" s="29"/>
      <c r="D54" s="29"/>
      <c r="E54" s="29"/>
      <c r="F54" s="29"/>
    </row>
    <row r="55" customFormat="false" ht="15" hidden="false" customHeight="true" outlineLevel="0" collapsed="false">
      <c r="A55" s="13" t="s">
        <v>569</v>
      </c>
      <c r="B55" s="29" t="s">
        <v>570</v>
      </c>
      <c r="C55" s="29"/>
      <c r="D55" s="29"/>
      <c r="E55" s="29"/>
      <c r="F55" s="29"/>
    </row>
    <row r="56" customFormat="false" ht="15" hidden="false" customHeight="true" outlineLevel="0" collapsed="false">
      <c r="A56" s="13" t="s">
        <v>571</v>
      </c>
      <c r="B56" s="29" t="s">
        <v>572</v>
      </c>
      <c r="C56" s="29"/>
      <c r="D56" s="29"/>
      <c r="E56" s="29"/>
      <c r="F56" s="29"/>
    </row>
    <row r="57" customFormat="false" ht="15" hidden="false" customHeight="true" outlineLevel="0" collapsed="false">
      <c r="A57" s="13" t="s">
        <v>573</v>
      </c>
      <c r="B57" s="29" t="s">
        <v>574</v>
      </c>
      <c r="C57" s="29"/>
      <c r="D57" s="29"/>
      <c r="E57" s="29"/>
      <c r="F57" s="29"/>
    </row>
    <row r="58" customFormat="false" ht="15" hidden="false" customHeight="true" outlineLevel="0" collapsed="false">
      <c r="A58" s="13" t="s">
        <v>278</v>
      </c>
      <c r="B58" s="29" t="s">
        <v>575</v>
      </c>
      <c r="C58" s="29"/>
      <c r="D58" s="29"/>
      <c r="E58" s="29"/>
      <c r="F58" s="29"/>
    </row>
    <row r="59" customFormat="false" ht="15" hidden="false" customHeight="true" outlineLevel="0" collapsed="false">
      <c r="A59" s="13" t="s">
        <v>576</v>
      </c>
      <c r="B59" s="29" t="s">
        <v>577</v>
      </c>
      <c r="C59" s="29"/>
      <c r="D59" s="29"/>
      <c r="E59" s="29"/>
      <c r="F59" s="29"/>
    </row>
    <row r="61" customFormat="false" ht="15" hidden="false" customHeight="true" outlineLevel="0" collapsed="false">
      <c r="A61" s="31" t="s">
        <v>578</v>
      </c>
      <c r="B61" s="32"/>
      <c r="C61" s="32"/>
      <c r="D61" s="32"/>
      <c r="E61" s="32"/>
      <c r="F61" s="32"/>
      <c r="G61" s="32"/>
    </row>
    <row r="62" customFormat="false" ht="15" hidden="false" customHeight="true" outlineLevel="0" collapsed="false">
      <c r="A62" s="28" t="s">
        <v>579</v>
      </c>
      <c r="B62" s="28" t="s">
        <v>467</v>
      </c>
      <c r="C62" s="28" t="s">
        <v>557</v>
      </c>
      <c r="D62" s="28"/>
      <c r="E62" s="28" t="s">
        <v>130</v>
      </c>
      <c r="F62" s="28" t="s">
        <v>559</v>
      </c>
      <c r="G62" s="28" t="s">
        <v>295</v>
      </c>
    </row>
    <row r="63" customFormat="false" ht="15" hidden="false" customHeight="true" outlineLevel="0" collapsed="false">
      <c r="A63" s="37" t="s">
        <v>580</v>
      </c>
      <c r="B63" s="37" t="s">
        <v>581</v>
      </c>
      <c r="C63" s="39" t="n">
        <v>9.9</v>
      </c>
      <c r="D63" s="40"/>
      <c r="E63" s="38" t="str">
        <f aca="false">HYPERLINK("https://www.amazon.fr/s?k="&amp;SUBSTITUTE(TRIM(B63)," ","+")&amp;IF('Mode d''emploi'!$B$3&lt;&gt;"","&amp;tag="&amp;'Mode d''emploi'!$B$3,""),"Chercher sur Amazon")</f>
        <v>Chercher sur Amazon</v>
      </c>
      <c r="F63" s="35"/>
      <c r="G63" s="35"/>
    </row>
    <row r="64" customFormat="false" ht="15" hidden="false" customHeight="true" outlineLevel="0" collapsed="false">
      <c r="A64" s="37" t="s">
        <v>582</v>
      </c>
      <c r="B64" s="37" t="s">
        <v>583</v>
      </c>
      <c r="C64" s="39" t="n">
        <v>6.9</v>
      </c>
      <c r="D64" s="40"/>
      <c r="E64" s="38" t="str">
        <f aca="false">HYPERLINK("https://www.amazon.fr/s?k="&amp;SUBSTITUTE(TRIM(B64)," ","+")&amp;IF('Mode d''emploi'!$B$3&lt;&gt;"","&amp;tag="&amp;'Mode d''emploi'!$B$3,""),"Chercher sur Amazon")</f>
        <v>Chercher sur Amazon</v>
      </c>
      <c r="F64" s="35"/>
      <c r="G64" s="35"/>
    </row>
    <row r="65" customFormat="false" ht="15" hidden="false" customHeight="true" outlineLevel="0" collapsed="false">
      <c r="A65" s="37" t="s">
        <v>584</v>
      </c>
      <c r="B65" s="37" t="s">
        <v>585</v>
      </c>
      <c r="C65" s="39" t="n">
        <v>14.9</v>
      </c>
      <c r="D65" s="40"/>
      <c r="E65" s="38" t="str">
        <f aca="false">HYPERLINK("https://www.amazon.fr/s?k="&amp;SUBSTITUTE(TRIM(B65)," ","+")&amp;IF('Mode d''emploi'!$B$3&lt;&gt;"","&amp;tag="&amp;'Mode d''emploi'!$B$3,""),"Chercher sur Amazon")</f>
        <v>Chercher sur Amazon</v>
      </c>
      <c r="F65" s="35"/>
      <c r="G65" s="35"/>
    </row>
    <row r="67" customFormat="false" ht="15" hidden="false" customHeight="true" outlineLevel="0" collapsed="false">
      <c r="A67" s="31" t="s">
        <v>586</v>
      </c>
      <c r="B67" s="32"/>
      <c r="C67" s="32"/>
      <c r="D67" s="32"/>
      <c r="E67" s="32"/>
      <c r="F67" s="32"/>
      <c r="G67" s="32"/>
    </row>
    <row r="68" customFormat="false" ht="15" hidden="false" customHeight="true" outlineLevel="0" collapsed="false">
      <c r="A68" s="13" t="s">
        <v>587</v>
      </c>
      <c r="B68" s="29" t="s">
        <v>588</v>
      </c>
      <c r="C68" s="29"/>
      <c r="D68" s="29"/>
      <c r="E68" s="29"/>
      <c r="F68" s="29"/>
    </row>
    <row r="69" customFormat="false" ht="31.5" hidden="false" customHeight="true" outlineLevel="0" collapsed="false">
      <c r="A69" s="41" t="s">
        <v>589</v>
      </c>
      <c r="B69" s="29" t="s">
        <v>590</v>
      </c>
      <c r="C69" s="29"/>
      <c r="D69" s="29"/>
      <c r="E69" s="29"/>
      <c r="F69" s="29"/>
    </row>
    <row r="70" customFormat="false" ht="31.5" hidden="false" customHeight="true" outlineLevel="0" collapsed="false">
      <c r="A70" s="41" t="s">
        <v>591</v>
      </c>
      <c r="B70" s="29" t="s">
        <v>592</v>
      </c>
      <c r="C70" s="29"/>
      <c r="D70" s="29"/>
      <c r="E70" s="29"/>
      <c r="F70" s="29"/>
    </row>
    <row r="71" customFormat="false" ht="31.5" hidden="false" customHeight="true" outlineLevel="0" collapsed="false">
      <c r="A71" s="41" t="s">
        <v>593</v>
      </c>
      <c r="B71" s="29" t="s">
        <v>594</v>
      </c>
      <c r="C71" s="29"/>
      <c r="D71" s="29"/>
      <c r="E71" s="29"/>
      <c r="F71" s="29"/>
    </row>
    <row r="72" customFormat="false" ht="31.5" hidden="false" customHeight="true" outlineLevel="0" collapsed="false">
      <c r="A72" s="41" t="s">
        <v>595</v>
      </c>
      <c r="B72" s="29" t="s">
        <v>596</v>
      </c>
      <c r="C72" s="29"/>
      <c r="D72" s="29"/>
      <c r="E72" s="29"/>
      <c r="F72" s="29"/>
    </row>
    <row r="73" customFormat="false" ht="31.5" hidden="false" customHeight="true" outlineLevel="0" collapsed="false">
      <c r="A73" s="41" t="s">
        <v>597</v>
      </c>
      <c r="B73" s="29" t="s">
        <v>598</v>
      </c>
      <c r="C73" s="29"/>
      <c r="D73" s="29"/>
      <c r="E73" s="29"/>
      <c r="F73" s="29"/>
    </row>
  </sheetData>
  <mergeCells count="44">
    <mergeCell ref="B5:F5"/>
    <mergeCell ref="B6:F6"/>
    <mergeCell ref="B7:F7"/>
    <mergeCell ref="B8:F8"/>
    <mergeCell ref="B9:F9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7:E27"/>
    <mergeCell ref="B28:E28"/>
    <mergeCell ref="B29:E29"/>
    <mergeCell ref="B30:E30"/>
    <mergeCell ref="B31:E31"/>
    <mergeCell ref="B32:E32"/>
    <mergeCell ref="B35:F35"/>
    <mergeCell ref="B36:F36"/>
    <mergeCell ref="B37:F37"/>
    <mergeCell ref="B38:F38"/>
    <mergeCell ref="B39:F39"/>
    <mergeCell ref="B40:F40"/>
    <mergeCell ref="B43:F43"/>
    <mergeCell ref="B44:F44"/>
    <mergeCell ref="B45:F45"/>
    <mergeCell ref="B54:F54"/>
    <mergeCell ref="B55:F55"/>
    <mergeCell ref="B56:F56"/>
    <mergeCell ref="B57:F57"/>
    <mergeCell ref="B58:F58"/>
    <mergeCell ref="B59:F59"/>
    <mergeCell ref="B68:F68"/>
    <mergeCell ref="B69:F69"/>
    <mergeCell ref="B70:F70"/>
    <mergeCell ref="B71:F71"/>
    <mergeCell ref="B72:F72"/>
    <mergeCell ref="B73:F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26.25" hidden="false" customHeight="true" outlineLevel="0" collapsed="false">
      <c r="A1" s="42" t="s">
        <v>599</v>
      </c>
    </row>
    <row r="2" customFormat="false" ht="15" hidden="false" customHeight="true" outlineLevel="0" collapsed="false">
      <c r="A2" s="43"/>
    </row>
    <row r="3" customFormat="false" ht="15" hidden="false" customHeight="true" outlineLevel="0" collapsed="false">
      <c r="A3" s="42" t="s">
        <v>600</v>
      </c>
    </row>
    <row r="4" customFormat="false" ht="15" hidden="false" customHeight="true" outlineLevel="0" collapsed="false">
      <c r="A4" s="43"/>
    </row>
    <row r="5" customFormat="false" ht="26.25" hidden="false" customHeight="true" outlineLevel="0" collapsed="false">
      <c r="A5" s="43" t="s">
        <v>601</v>
      </c>
    </row>
    <row r="6" customFormat="false" ht="26.25" hidden="false" customHeight="true" outlineLevel="0" collapsed="false">
      <c r="A6" s="43" t="s">
        <v>602</v>
      </c>
    </row>
    <row r="7" customFormat="false" ht="39" hidden="false" customHeight="true" outlineLevel="0" collapsed="false">
      <c r="A7" s="43" t="s">
        <v>603</v>
      </c>
    </row>
    <row r="8" customFormat="false" ht="26.25" hidden="false" customHeight="true" outlineLevel="0" collapsed="false">
      <c r="A8" s="43" t="s">
        <v>604</v>
      </c>
    </row>
    <row r="9" customFormat="false" ht="15" hidden="false" customHeight="true" outlineLevel="0" collapsed="false">
      <c r="A9" s="43" t="s">
        <v>605</v>
      </c>
    </row>
    <row r="10" customFormat="false" ht="15" hidden="false" customHeight="true" outlineLevel="0" collapsed="false">
      <c r="A10" s="43" t="s">
        <v>606</v>
      </c>
    </row>
    <row r="11" customFormat="false" ht="15" hidden="false" customHeight="true" outlineLevel="0" collapsed="false">
      <c r="A11" s="43"/>
    </row>
    <row r="12" customFormat="false" ht="26.25" hidden="false" customHeight="true" outlineLevel="0" collapsed="false">
      <c r="A12" s="42" t="s">
        <v>607</v>
      </c>
    </row>
    <row r="13" customFormat="false" ht="51.75" hidden="false" customHeight="true" outlineLevel="0" collapsed="false">
      <c r="A13" s="43"/>
    </row>
    <row r="14" customFormat="false" ht="15" hidden="false" customHeight="true" outlineLevel="0" collapsed="false">
      <c r="A14" s="43" t="s">
        <v>608</v>
      </c>
    </row>
    <row r="15" customFormat="false" ht="15" hidden="false" customHeight="true" outlineLevel="0" collapsed="false">
      <c r="A15" s="43"/>
    </row>
    <row r="16" customFormat="false" ht="15" hidden="false" customHeight="true" outlineLevel="0" collapsed="false">
      <c r="A16" s="42" t="s">
        <v>609</v>
      </c>
    </row>
    <row r="17" customFormat="false" ht="39" hidden="false" customHeight="true" outlineLevel="0" collapsed="false">
      <c r="A17" s="43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116</v>
      </c>
      <c r="B1" s="1" t="s">
        <v>611</v>
      </c>
      <c r="C1" s="1" t="s">
        <v>132</v>
      </c>
      <c r="D1" s="1" t="s">
        <v>612</v>
      </c>
      <c r="E1" s="1" t="s">
        <v>465</v>
      </c>
    </row>
    <row r="2" customFormat="false" ht="15" hidden="false" customHeight="true" outlineLevel="0" collapsed="false">
      <c r="A2" s="1" t="s">
        <v>613</v>
      </c>
      <c r="B2" s="1" t="s">
        <v>134</v>
      </c>
      <c r="C2" s="1" t="s">
        <v>476</v>
      </c>
      <c r="D2" s="1" t="s">
        <v>145</v>
      </c>
      <c r="E2" s="1" t="s">
        <v>139</v>
      </c>
    </row>
    <row r="3" customFormat="false" ht="15" hidden="false" customHeight="true" outlineLevel="0" collapsed="false">
      <c r="A3" s="1" t="s">
        <v>214</v>
      </c>
      <c r="B3" s="1" t="s">
        <v>164</v>
      </c>
      <c r="C3" s="1" t="s">
        <v>614</v>
      </c>
      <c r="D3" s="1" t="s">
        <v>66</v>
      </c>
      <c r="E3" s="1" t="s">
        <v>156</v>
      </c>
    </row>
    <row r="4" customFormat="false" ht="15" hidden="false" customHeight="true" outlineLevel="0" collapsed="false">
      <c r="A4" s="1" t="s">
        <v>491</v>
      </c>
      <c r="C4" s="1" t="s">
        <v>150</v>
      </c>
      <c r="D4" s="1" t="s">
        <v>232</v>
      </c>
      <c r="E4" s="1" t="s">
        <v>172</v>
      </c>
    </row>
    <row r="5" customFormat="false" ht="15" hidden="false" customHeight="true" outlineLevel="0" collapsed="false">
      <c r="A5" s="1" t="s">
        <v>509</v>
      </c>
      <c r="C5" s="1" t="s">
        <v>246</v>
      </c>
    </row>
    <row r="6" customFormat="false" ht="15" hidden="false" customHeight="true" outlineLevel="0" collapsed="false">
      <c r="A6" s="1" t="s">
        <v>615</v>
      </c>
    </row>
    <row r="7" customFormat="false" ht="15" hidden="false" customHeight="true" outlineLevel="0" collapsed="false">
      <c r="A7" s="1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2026-09-29T23:27:19Z</dcterms:created>
  <dc:creator>openpyxl</dc:creator>
  <dc:description/>
  <dc:language>en-US</dc:language>
  <cp:lastModifiedBy/>
  <dcterms:modified xsi:type="dcterms:W3CDTF">2026-09-30T08:49:13Z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